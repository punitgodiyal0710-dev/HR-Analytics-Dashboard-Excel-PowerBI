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42B632E1-9C16-450F-B422-7006C19EB205}" xr6:coauthVersionLast="47" xr6:coauthVersionMax="47" xr10:uidLastSave="{00000000-0000-0000-0000-000000000000}"/>
  <bookViews>
    <workbookView xWindow="-120" yWindow="-120" windowWidth="20730" windowHeight="11040" tabRatio="599" xr2:uid="{30B33EDF-B50F-4A61-B18B-7C04DC3FA2EE}"/>
  </bookViews>
  <sheets>
    <sheet name="Raw Data" sheetId="1" r:id="rId1"/>
    <sheet name="Kpi's" sheetId="2" r:id="rId2"/>
    <sheet name="DashBoard" sheetId="4" r:id="rId3"/>
  </sheets>
  <definedNames>
    <definedName name="_xlchart.v1.0" hidden="1">'Kpi''s'!$AB$25:$AB$31</definedName>
    <definedName name="_xlchart.v1.1" hidden="1">'Kpi''s'!$AC$24</definedName>
    <definedName name="_xlchart.v1.10" hidden="1">'Kpi''s'!$AC$24</definedName>
    <definedName name="_xlchart.v1.11" hidden="1">'Kpi''s'!$AC$25:$AC$31</definedName>
    <definedName name="_xlchart.v1.12" hidden="1">'Kpi''s'!$AB$25:$AB$31</definedName>
    <definedName name="_xlchart.v1.13" hidden="1">'Kpi''s'!$AC$24</definedName>
    <definedName name="_xlchart.v1.14" hidden="1">'Kpi''s'!$AC$25:$AC$31</definedName>
    <definedName name="_xlchart.v1.15" hidden="1">'Kpi''s'!$AB$25:$AB$31</definedName>
    <definedName name="_xlchart.v1.16" hidden="1">'Kpi''s'!$AC$24</definedName>
    <definedName name="_xlchart.v1.17" hidden="1">'Kpi''s'!$AC$25:$AC$31</definedName>
    <definedName name="_xlchart.v1.18" hidden="1">'Kpi''s'!$AB$25:$AB$31</definedName>
    <definedName name="_xlchart.v1.19" hidden="1">'Kpi''s'!$AC$24</definedName>
    <definedName name="_xlchart.v1.2" hidden="1">'Kpi''s'!$AC$25:$AC$31</definedName>
    <definedName name="_xlchart.v1.20" hidden="1">'Kpi''s'!$AC$25:$AC$31</definedName>
    <definedName name="_xlchart.v1.3" hidden="1">'Kpi''s'!$AB$25:$AB$31</definedName>
    <definedName name="_xlchart.v1.4" hidden="1">'Kpi''s'!$AC$24</definedName>
    <definedName name="_xlchart.v1.5" hidden="1">'Kpi''s'!$AC$25:$AC$31</definedName>
    <definedName name="_xlchart.v1.6" hidden="1">'Kpi''s'!$AB$25:$AB$31</definedName>
    <definedName name="_xlchart.v1.7" hidden="1">'Kpi''s'!$AC$24</definedName>
    <definedName name="_xlchart.v1.8" hidden="1">'Kpi''s'!$AC$25:$AC$31</definedName>
    <definedName name="_xlchart.v1.9" hidden="1">'Kpi''s'!$AB$25:$AB$31</definedName>
    <definedName name="Slicer_Business_Travel">#N/A</definedName>
    <definedName name="Slicer_Department">#N/A</definedName>
    <definedName name="Slicer_Education">#N/A</definedName>
    <definedName name="Slicer_Gender">#N/A</definedName>
    <definedName name="Slicer_Job_Role">#N/A</definedName>
    <definedName name="Slicer_Marital_Status">#N/A</definedName>
    <definedName name="Slicer_Status">#N/A</definedName>
    <definedName name="Slicer_Years__Date_of_Joining">#N/A</definedName>
  </definedNames>
  <calcPr calcId="181029"/>
  <pivotCaches>
    <pivotCache cacheId="1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E6" i="2"/>
  <c r="H6" i="2"/>
</calcChain>
</file>

<file path=xl/sharedStrings.xml><?xml version="1.0" encoding="utf-8"?>
<sst xmlns="http://schemas.openxmlformats.org/spreadsheetml/2006/main" count="3435" uniqueCount="393">
  <si>
    <t>Employee_ID</t>
  </si>
  <si>
    <t>Employee_Name</t>
  </si>
  <si>
    <t>Gender</t>
  </si>
  <si>
    <t>Age</t>
  </si>
  <si>
    <t>Department</t>
  </si>
  <si>
    <t>Job_Role</t>
  </si>
  <si>
    <t>Education</t>
  </si>
  <si>
    <t>Marital_Status</t>
  </si>
  <si>
    <t>Date_of_Joining</t>
  </si>
  <si>
    <t>Years_at_Company</t>
  </si>
  <si>
    <t>Salary</t>
  </si>
  <si>
    <t>Bonus</t>
  </si>
  <si>
    <t>Overtime</t>
  </si>
  <si>
    <t>Performance_Rating</t>
  </si>
  <si>
    <t>Job_Satisfaction</t>
  </si>
  <si>
    <t>Work_Life_Balance</t>
  </si>
  <si>
    <t>Training_Hours</t>
  </si>
  <si>
    <t>Promotion_Last_5_Years</t>
  </si>
  <si>
    <t>Distance_From_Home</t>
  </si>
  <si>
    <t>Business_Travel</t>
  </si>
  <si>
    <t>Absent_Days</t>
  </si>
  <si>
    <t>Attrition</t>
  </si>
  <si>
    <t>Exit_Date</t>
  </si>
  <si>
    <t>City</t>
  </si>
  <si>
    <t>James White</t>
  </si>
  <si>
    <t>Male</t>
  </si>
  <si>
    <t>R&amp;D</t>
  </si>
  <si>
    <t>Laboratory Technician</t>
  </si>
  <si>
    <t>Bachelors</t>
  </si>
  <si>
    <t>Single</t>
  </si>
  <si>
    <t>Yes</t>
  </si>
  <si>
    <t>Travel_Frequently</t>
  </si>
  <si>
    <t>No</t>
  </si>
  <si>
    <t>San Antonio</t>
  </si>
  <si>
    <t>Steven Jackson</t>
  </si>
  <si>
    <t>Operations</t>
  </si>
  <si>
    <t>Operations Analyst</t>
  </si>
  <si>
    <t>Masters</t>
  </si>
  <si>
    <t>Travel_Rarely</t>
  </si>
  <si>
    <t>New York</t>
  </si>
  <si>
    <t>Emily Brown</t>
  </si>
  <si>
    <t>Female</t>
  </si>
  <si>
    <t>Sales</t>
  </si>
  <si>
    <t>Sales Representative</t>
  </si>
  <si>
    <t>PhD</t>
  </si>
  <si>
    <t>Divorced</t>
  </si>
  <si>
    <t>Philadelphia</t>
  </si>
  <si>
    <t>Matthew Lopez</t>
  </si>
  <si>
    <t>Marketing</t>
  </si>
  <si>
    <t>Brand Specialist</t>
  </si>
  <si>
    <t>Joseph Clark</t>
  </si>
  <si>
    <t>Logistics Coordinator</t>
  </si>
  <si>
    <t>Non-Travel</t>
  </si>
  <si>
    <t>Seattle</t>
  </si>
  <si>
    <t>Donna Gonzalez</t>
  </si>
  <si>
    <t>Atlanta</t>
  </si>
  <si>
    <t>Michael Perez</t>
  </si>
  <si>
    <t>Married</t>
  </si>
  <si>
    <t>Dallas</t>
  </si>
  <si>
    <t>William Lopez</t>
  </si>
  <si>
    <t>IT</t>
  </si>
  <si>
    <t>Software Engineer</t>
  </si>
  <si>
    <t>Denver</t>
  </si>
  <si>
    <t>William Perez</t>
  </si>
  <si>
    <t>IT Support</t>
  </si>
  <si>
    <t>Chicago</t>
  </si>
  <si>
    <t>Mary Jackson</t>
  </si>
  <si>
    <t>High School</t>
  </si>
  <si>
    <t>Houston</t>
  </si>
  <si>
    <t>Betty Miller</t>
  </si>
  <si>
    <t>Account Manager</t>
  </si>
  <si>
    <t>San Diego</t>
  </si>
  <si>
    <t>Mark Garcia</t>
  </si>
  <si>
    <t>Finance</t>
  </si>
  <si>
    <t>Accountant</t>
  </si>
  <si>
    <t>Miami</t>
  </si>
  <si>
    <t>David Gonzalez</t>
  </si>
  <si>
    <t>Finance Manager</t>
  </si>
  <si>
    <t>Diploma</t>
  </si>
  <si>
    <t>Kevin Thomas</t>
  </si>
  <si>
    <t>Operations Manager</t>
  </si>
  <si>
    <t>Austin</t>
  </si>
  <si>
    <t>Sarah Miller</t>
  </si>
  <si>
    <t>Research Director</t>
  </si>
  <si>
    <t>Phoenix</t>
  </si>
  <si>
    <t>Matthew Lewis</t>
  </si>
  <si>
    <t>Thomas Martinez</t>
  </si>
  <si>
    <t>Los Angeles</t>
  </si>
  <si>
    <t>Emily Thompson</t>
  </si>
  <si>
    <t>Matthew Harris</t>
  </si>
  <si>
    <t>Supply Chain Specialist</t>
  </si>
  <si>
    <t>Anthony Ramirez</t>
  </si>
  <si>
    <t>Mary Brown</t>
  </si>
  <si>
    <t>Matthew Wilson</t>
  </si>
  <si>
    <t>Brian Jackson</t>
  </si>
  <si>
    <t>Financial Analyst</t>
  </si>
  <si>
    <t>Jennifer Clark</t>
  </si>
  <si>
    <t>James Lewis</t>
  </si>
  <si>
    <t>Michelle Clark</t>
  </si>
  <si>
    <t>Auditor</t>
  </si>
  <si>
    <t>Emily Williams</t>
  </si>
  <si>
    <t>Ashley Smith</t>
  </si>
  <si>
    <t>HR</t>
  </si>
  <si>
    <t>HR Business Partner</t>
  </si>
  <si>
    <t>Barbara Clark</t>
  </si>
  <si>
    <t>Research Scientist</t>
  </si>
  <si>
    <t>Sarah Harris</t>
  </si>
  <si>
    <t>HR Executive</t>
  </si>
  <si>
    <t>Kevin Miller</t>
  </si>
  <si>
    <t>Robert Jackson</t>
  </si>
  <si>
    <t>Lisa Lee</t>
  </si>
  <si>
    <t>Marketing Manager</t>
  </si>
  <si>
    <t>Thomas Lewis</t>
  </si>
  <si>
    <t>R&amp;D Engineer</t>
  </si>
  <si>
    <t>Robert Davis</t>
  </si>
  <si>
    <t>Lisa Thompson</t>
  </si>
  <si>
    <t>Recruiter</t>
  </si>
  <si>
    <t>Charles Davis</t>
  </si>
  <si>
    <t>Ashley Brown</t>
  </si>
  <si>
    <t>Sandra Robinson</t>
  </si>
  <si>
    <t>Karen Johnson</t>
  </si>
  <si>
    <t>David Sanchez</t>
  </si>
  <si>
    <t>Systems Analyst</t>
  </si>
  <si>
    <t>Joseph Perez</t>
  </si>
  <si>
    <t>Betty Hernandez</t>
  </si>
  <si>
    <t>Marketing Executive</t>
  </si>
  <si>
    <t>Joshua Anderson</t>
  </si>
  <si>
    <t>Sales Manager</t>
  </si>
  <si>
    <t>David Martinez</t>
  </si>
  <si>
    <t>Brian Taylor</t>
  </si>
  <si>
    <t>Emily Harris</t>
  </si>
  <si>
    <t>Andrew Jackson</t>
  </si>
  <si>
    <t>Boston</t>
  </si>
  <si>
    <t>Daniel Ramirez</t>
  </si>
  <si>
    <t>Mary Johnson</t>
  </si>
  <si>
    <t>Joseph Anderson</t>
  </si>
  <si>
    <t>Linda Davis</t>
  </si>
  <si>
    <t>Richard Martin</t>
  </si>
  <si>
    <t>Barbara Rodriguez</t>
  </si>
  <si>
    <t>Sarah Jackson</t>
  </si>
  <si>
    <t>Matthew Brown</t>
  </si>
  <si>
    <t>Joshua Miller</t>
  </si>
  <si>
    <t>Mary Garcia</t>
  </si>
  <si>
    <t>John Thomas</t>
  </si>
  <si>
    <t>Linda Sanchez</t>
  </si>
  <si>
    <t>Mark Brown</t>
  </si>
  <si>
    <t>Jessica Ramirez</t>
  </si>
  <si>
    <t>Nancy Lopez</t>
  </si>
  <si>
    <t>John Jones</t>
  </si>
  <si>
    <t>Patricia Davis</t>
  </si>
  <si>
    <t>Jennifer Gonzalez</t>
  </si>
  <si>
    <t>Jennifer Wilson</t>
  </si>
  <si>
    <t>Elizabeth Davis</t>
  </si>
  <si>
    <t>Nancy Jones</t>
  </si>
  <si>
    <t>Brian Martin</t>
  </si>
  <si>
    <t>Jennifer Taylor</t>
  </si>
  <si>
    <t>Joshua Perez</t>
  </si>
  <si>
    <t>Elizabeth Perez</t>
  </si>
  <si>
    <t>Daniel Lewis</t>
  </si>
  <si>
    <t>Ashley Lewis</t>
  </si>
  <si>
    <t>Charles Williams</t>
  </si>
  <si>
    <t>James Hernandez</t>
  </si>
  <si>
    <t>Linda Harris</t>
  </si>
  <si>
    <t>Jessica Jackson</t>
  </si>
  <si>
    <t>Matthew Sanchez</t>
  </si>
  <si>
    <t>HR Manager</t>
  </si>
  <si>
    <t>William Williams</t>
  </si>
  <si>
    <t>Sarah Brown</t>
  </si>
  <si>
    <t>Daniel Perez</t>
  </si>
  <si>
    <t>Kimberly Sanchez</t>
  </si>
  <si>
    <t>Jennifer Jackson</t>
  </si>
  <si>
    <t>Ashley Miller</t>
  </si>
  <si>
    <t>Matthew Taylor</t>
  </si>
  <si>
    <t>Donna Williams</t>
  </si>
  <si>
    <t>David Hernandez</t>
  </si>
  <si>
    <t>Donna Johnson</t>
  </si>
  <si>
    <t>Sales Executive</t>
  </si>
  <si>
    <t>Karen Anderson</t>
  </si>
  <si>
    <t>Thomas Anderson</t>
  </si>
  <si>
    <t>Mary Williams</t>
  </si>
  <si>
    <t>IT Manager</t>
  </si>
  <si>
    <t>Lisa Johnson</t>
  </si>
  <si>
    <t>Donna Martinez</t>
  </si>
  <si>
    <t>Barbara Taylor</t>
  </si>
  <si>
    <t>Patricia Thompson</t>
  </si>
  <si>
    <t>Susan Davis</t>
  </si>
  <si>
    <t>Elizabeth Martinez</t>
  </si>
  <si>
    <t>Joseph Johnson</t>
  </si>
  <si>
    <t>Kevin Davis</t>
  </si>
  <si>
    <t>Brian Ramirez</t>
  </si>
  <si>
    <t>Thomas Lee</t>
  </si>
  <si>
    <t>Betty Thompson</t>
  </si>
  <si>
    <t>Mary Gonzalez</t>
  </si>
  <si>
    <t>Lisa Lewis</t>
  </si>
  <si>
    <t>Emily Wilson</t>
  </si>
  <si>
    <t>Steven Martin</t>
  </si>
  <si>
    <t>Andrew Davis</t>
  </si>
  <si>
    <t>John Rodriguez</t>
  </si>
  <si>
    <t>Anthony Robinson</t>
  </si>
  <si>
    <t>Betty Johnson</t>
  </si>
  <si>
    <t>Content Strategist</t>
  </si>
  <si>
    <t>Joseph Williams</t>
  </si>
  <si>
    <t>Mary Taylor</t>
  </si>
  <si>
    <t>Charles Perez</t>
  </si>
  <si>
    <t>Joseph Miller</t>
  </si>
  <si>
    <t>Nancy Smith</t>
  </si>
  <si>
    <t>Anthony Hernandez</t>
  </si>
  <si>
    <t>Margaret Smith</t>
  </si>
  <si>
    <t>Karen Thomas</t>
  </si>
  <si>
    <t>Charles Hernandez</t>
  </si>
  <si>
    <t>Joshua Smith</t>
  </si>
  <si>
    <t>Michelle Thomas</t>
  </si>
  <si>
    <t>Betty Brown</t>
  </si>
  <si>
    <t>Jennifer Brown</t>
  </si>
  <si>
    <t>David Robinson</t>
  </si>
  <si>
    <t>Richard Miller</t>
  </si>
  <si>
    <t>Michelle Garcia</t>
  </si>
  <si>
    <t>Joshua Garcia</t>
  </si>
  <si>
    <t>Ashley Garcia</t>
  </si>
  <si>
    <t>Emily Clark</t>
  </si>
  <si>
    <t>Kevin Thompson</t>
  </si>
  <si>
    <t>William Harris</t>
  </si>
  <si>
    <t>Anthony Taylor</t>
  </si>
  <si>
    <t>Nancy Clark</t>
  </si>
  <si>
    <t>Charles Garcia</t>
  </si>
  <si>
    <t>Mary Smith</t>
  </si>
  <si>
    <t>Robert Taylor</t>
  </si>
  <si>
    <t>Paul Gonzalez</t>
  </si>
  <si>
    <t>James Jackson</t>
  </si>
  <si>
    <t>Andrew Robinson</t>
  </si>
  <si>
    <t>Betty Rodriguez</t>
  </si>
  <si>
    <t>Andrew Smith</t>
  </si>
  <si>
    <t>Linda Taylor</t>
  </si>
  <si>
    <t>Steven Lopez</t>
  </si>
  <si>
    <t>Ashley Johnson</t>
  </si>
  <si>
    <t>Susan Anderson</t>
  </si>
  <si>
    <t>Sarah Clark</t>
  </si>
  <si>
    <t>Kevin Jackson</t>
  </si>
  <si>
    <t>Mark Miller</t>
  </si>
  <si>
    <t>Patricia Sanchez</t>
  </si>
  <si>
    <t>Donna Smith</t>
  </si>
  <si>
    <t>Daniel Thompson</t>
  </si>
  <si>
    <t>David White</t>
  </si>
  <si>
    <t>Sandra Smith</t>
  </si>
  <si>
    <t>Donna Lee</t>
  </si>
  <si>
    <t>Mary Wilson</t>
  </si>
  <si>
    <t>John Lopez</t>
  </si>
  <si>
    <t>Jennifer Lee</t>
  </si>
  <si>
    <t>Donna Davis</t>
  </si>
  <si>
    <t>Michael Harris</t>
  </si>
  <si>
    <t>Sarah Taylor</t>
  </si>
  <si>
    <t>Emily Lewis</t>
  </si>
  <si>
    <t>Lisa Smith</t>
  </si>
  <si>
    <t>Ashley Harris</t>
  </si>
  <si>
    <t>Matthew Thompson</t>
  </si>
  <si>
    <t>Thomas White</t>
  </si>
  <si>
    <t>Brian Sanchez</t>
  </si>
  <si>
    <t>Emily Lee</t>
  </si>
  <si>
    <t>Nancy Perez</t>
  </si>
  <si>
    <t>Kimberly Martinez</t>
  </si>
  <si>
    <t>Donna Lewis</t>
  </si>
  <si>
    <t>William Martin</t>
  </si>
  <si>
    <t>Karen Jones</t>
  </si>
  <si>
    <t>Mary Davis</t>
  </si>
  <si>
    <t>Michael Wilson</t>
  </si>
  <si>
    <t>Charles Brown</t>
  </si>
  <si>
    <t>Michael Clark</t>
  </si>
  <si>
    <t>Betty White</t>
  </si>
  <si>
    <t>Margaret Thompson</t>
  </si>
  <si>
    <t>Michelle Smith</t>
  </si>
  <si>
    <t>Mark Perez</t>
  </si>
  <si>
    <t>Daniel Rodriguez</t>
  </si>
  <si>
    <t>Joshua Moore</t>
  </si>
  <si>
    <t>Linda Rodriguez</t>
  </si>
  <si>
    <t>Paul Smith</t>
  </si>
  <si>
    <t>Betty Martin</t>
  </si>
  <si>
    <t>Lisa Robinson</t>
  </si>
  <si>
    <t>Andrew Brown</t>
  </si>
  <si>
    <t>Joshua Gonzalez</t>
  </si>
  <si>
    <t>Donna Moore</t>
  </si>
  <si>
    <t>Sandra Thompson</t>
  </si>
  <si>
    <t>Andrew Garcia</t>
  </si>
  <si>
    <t>Brian Robinson</t>
  </si>
  <si>
    <t>Susan Hernandez</t>
  </si>
  <si>
    <t>James Anderson</t>
  </si>
  <si>
    <t>Brian Williams</t>
  </si>
  <si>
    <t>Emily Martinez</t>
  </si>
  <si>
    <t>Susan Wilson</t>
  </si>
  <si>
    <t>Joseph Thompson</t>
  </si>
  <si>
    <t>Margaret Davis</t>
  </si>
  <si>
    <t>Paul Lopez</t>
  </si>
  <si>
    <t>Andrew Lewis</t>
  </si>
  <si>
    <t>Kevin Garcia</t>
  </si>
  <si>
    <t>Anthony Gonzalez</t>
  </si>
  <si>
    <t>Mark Taylor</t>
  </si>
  <si>
    <t>Michelle Lewis</t>
  </si>
  <si>
    <t>Donna Lopez</t>
  </si>
  <si>
    <t>Brian Johnson</t>
  </si>
  <si>
    <t>Lisa Clark</t>
  </si>
  <si>
    <t>Sandra Gonzalez</t>
  </si>
  <si>
    <t>Thomas Davis</t>
  </si>
  <si>
    <t>Thomas Miller</t>
  </si>
  <si>
    <t>Nancy Thompson</t>
  </si>
  <si>
    <t>Lisa Lopez</t>
  </si>
  <si>
    <t>Mark Thomas</t>
  </si>
  <si>
    <t>Lisa Moore</t>
  </si>
  <si>
    <t>Michelle Lee</t>
  </si>
  <si>
    <t>Michael Williams</t>
  </si>
  <si>
    <t>James Johnson</t>
  </si>
  <si>
    <t>Lisa Thomas</t>
  </si>
  <si>
    <t>Karen Martin</t>
  </si>
  <si>
    <t>Karen Lee</t>
  </si>
  <si>
    <t>Michael Martinez</t>
  </si>
  <si>
    <t>Thomas Harris</t>
  </si>
  <si>
    <t>Donna Brown</t>
  </si>
  <si>
    <t>Barbara Lewis</t>
  </si>
  <si>
    <t>Linda Brown</t>
  </si>
  <si>
    <t>Brian Thompson</t>
  </si>
  <si>
    <t>Linda Garcia</t>
  </si>
  <si>
    <t>Anthony Harris</t>
  </si>
  <si>
    <t>Daniel Smith</t>
  </si>
  <si>
    <t>Anthony Johnson</t>
  </si>
  <si>
    <t>Daniel Williams</t>
  </si>
  <si>
    <t>Michelle Jones</t>
  </si>
  <si>
    <t>Charles Anderson</t>
  </si>
  <si>
    <t>Susan Sanchez</t>
  </si>
  <si>
    <t>Daniel Thomas</t>
  </si>
  <si>
    <t>Jessica Taylor</t>
  </si>
  <si>
    <t>Mark Davis</t>
  </si>
  <si>
    <t>Kevin Robinson</t>
  </si>
  <si>
    <t>David Smith</t>
  </si>
  <si>
    <t>Ashley Thomas</t>
  </si>
  <si>
    <t>Jessica Wilson</t>
  </si>
  <si>
    <t>Jennifer White</t>
  </si>
  <si>
    <t>David Ramirez</t>
  </si>
  <si>
    <t>Jessica Miller</t>
  </si>
  <si>
    <t>Kevin Clark</t>
  </si>
  <si>
    <t>Paul White</t>
  </si>
  <si>
    <t>Charles Miller</t>
  </si>
  <si>
    <t>Karen Taylor</t>
  </si>
  <si>
    <t>Steven Lewis</t>
  </si>
  <si>
    <t>Daniel Gonzalez</t>
  </si>
  <si>
    <t>Andrew Martinez</t>
  </si>
  <si>
    <t>Andrew Perez</t>
  </si>
  <si>
    <t>Daniel Miller</t>
  </si>
  <si>
    <t>Michelle Lopez</t>
  </si>
  <si>
    <t>Jessica Davis</t>
  </si>
  <si>
    <t>Lisa Martin</t>
  </si>
  <si>
    <t>Margaret Williams</t>
  </si>
  <si>
    <t>Daniel Martinez</t>
  </si>
  <si>
    <t>Linda Ramirez</t>
  </si>
  <si>
    <t>Betty Jones</t>
  </si>
  <si>
    <t>Steven Taylor</t>
  </si>
  <si>
    <t>Lisa Brown</t>
  </si>
  <si>
    <t>Joshua Sanchez</t>
  </si>
  <si>
    <t>Patricia Lee</t>
  </si>
  <si>
    <t>Count of Employee_ID</t>
  </si>
  <si>
    <t>Status</t>
  </si>
  <si>
    <t>(All)</t>
  </si>
  <si>
    <t>Active</t>
  </si>
  <si>
    <t>Active Employees</t>
  </si>
  <si>
    <t>Average Salary</t>
  </si>
  <si>
    <t>Average Performance Rating</t>
  </si>
  <si>
    <t>Attrition Rate</t>
  </si>
  <si>
    <t>Exited Employees</t>
  </si>
  <si>
    <t>Charts</t>
  </si>
  <si>
    <t>Row Labels</t>
  </si>
  <si>
    <t>Grand Total</t>
  </si>
  <si>
    <t>Exited</t>
  </si>
  <si>
    <t>2010</t>
  </si>
  <si>
    <t>2011</t>
  </si>
  <si>
    <t>2012</t>
  </si>
  <si>
    <t>2013</t>
  </si>
  <si>
    <t>2014</t>
  </si>
  <si>
    <t>2015</t>
  </si>
  <si>
    <t>2016</t>
  </si>
  <si>
    <t>2017</t>
  </si>
  <si>
    <t>2018</t>
  </si>
  <si>
    <t>2019</t>
  </si>
  <si>
    <t>2020</t>
  </si>
  <si>
    <t>2021</t>
  </si>
  <si>
    <t>2022</t>
  </si>
  <si>
    <t>2023</t>
  </si>
  <si>
    <t>2024</t>
  </si>
  <si>
    <t>Slicers</t>
  </si>
  <si>
    <t>Total Employees 300</t>
  </si>
  <si>
    <t>Average Salary 67325.24</t>
  </si>
  <si>
    <t>Average Performance Rating 3.14</t>
  </si>
  <si>
    <t xml:space="preserve">Finance </t>
  </si>
  <si>
    <t>Count of employees_id</t>
  </si>
  <si>
    <t/>
  </si>
  <si>
    <t>Average of Performance_Rating</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</si>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</sst>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
    <numFmt numFmtId="173" formatCode="0.0"/>
    <numFmt numFmtId="178" formatCode="0.0,,&quot;M&quot;"/>
  </numFmts>
  <fonts count="8">
    <font>
      <sz val="11"/>
      <color theme="1"/>
      <name val="Calibri"/>
      <family val="2"/>
      <scheme val="minor"/>
    </font>
    <font>
      <b/>
      <sz val="11"/>
      <color rgb="FFFFFFFF"/>
      <name val="Arial"/>
    </font>
    <font>
      <sz val="10"/>
      <name val="Arial"/>
    </font>
    <font>
      <sz val="11"/>
      <color theme="1"/>
      <name val="Calibri"/>
      <family val="2"/>
      <scheme val="minor"/>
    </font>
    <font>
      <b/>
      <sz val="11"/>
      <color theme="1"/>
      <name val="Calibri"/>
      <family val="2"/>
      <scheme val="minor"/>
    </font>
    <font>
      <b/>
      <u/>
      <sz val="36"/>
      <color rgb="FFFF0000"/>
      <name val="Calibri"/>
      <family val="2"/>
      <scheme val="minor"/>
    </font>
    <font>
      <b/>
      <sz val="36"/>
      <color theme="1"/>
      <name val="Agency FB"/>
      <family val="2"/>
    </font>
    <font>
      <sz val="10"/>
      <color theme="1"/>
      <name val="Arial Unicode MS"/>
    </font>
  </fonts>
  <fills count="4">
    <fill>
      <patternFill patternType="none"/>
    </fill>
    <fill>
      <patternFill patternType="gray125"/>
    </fill>
    <fill>
      <patternFill patternType="solid">
        <fgColor rgb="FF1F4E78"/>
        <bgColor rgb="FF1F4E78"/>
      </patternFill>
    </fill>
    <fill>
      <patternFill patternType="solid">
        <fgColor theme="4" tint="0.79998168889431442"/>
        <bgColor theme="4" tint="0.79998168889431442"/>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xf numFmtId="164" fontId="2" fillId="0" borderId="1" xfId="0" applyNumberFormat="1" applyFont="1" applyBorder="1"/>
    <xf numFmtId="4" fontId="2" fillId="0" borderId="1" xfId="0" applyNumberFormat="1" applyFont="1" applyBorder="1"/>
    <xf numFmtId="0" fontId="4" fillId="3" borderId="2" xfId="0" applyFont="1" applyFill="1" applyBorder="1"/>
    <xf numFmtId="0" fontId="0" fillId="0" borderId="0" xfId="0" pivotButton="1"/>
    <xf numFmtId="4" fontId="0" fillId="0" borderId="0" xfId="0" applyNumberFormat="1"/>
    <xf numFmtId="2" fontId="0" fillId="0" borderId="0" xfId="0" applyNumberFormat="1"/>
    <xf numFmtId="165" fontId="0" fillId="0" borderId="0" xfId="1" applyNumberFormat="1" applyFont="1"/>
    <xf numFmtId="0" fontId="0" fillId="0" borderId="0" xfId="0" applyAlignment="1">
      <alignment horizontal="left"/>
    </xf>
    <xf numFmtId="0" fontId="4"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5" fillId="0" borderId="0" xfId="0" applyFont="1" applyAlignment="1">
      <alignment horizontal="center"/>
    </xf>
    <xf numFmtId="0" fontId="0" fillId="0" borderId="0" xfId="0" applyAlignment="1">
      <alignment horizontal="center"/>
    </xf>
    <xf numFmtId="0" fontId="6" fillId="0" borderId="0" xfId="0" applyFont="1" applyAlignment="1">
      <alignment horizontal="center"/>
    </xf>
    <xf numFmtId="0" fontId="0" fillId="0" borderId="0" xfId="0" applyNumberFormat="1"/>
    <xf numFmtId="173" fontId="0" fillId="0" borderId="0" xfId="0" applyNumberFormat="1"/>
    <xf numFmtId="178" fontId="0" fillId="0" borderId="0" xfId="0" applyNumberFormat="1"/>
  </cellXfs>
  <cellStyles count="2">
    <cellStyle name="Normal" xfId="0" builtinId="0"/>
    <cellStyle name="Percent" xfId="1" builtinId="5"/>
  </cellStyles>
  <dxfs count="4">
    <dxf>
      <numFmt numFmtId="173" formatCode="0.0"/>
    </dxf>
    <dxf>
      <numFmt numFmtId="174" formatCode="0.000000000"/>
    </dxf>
    <dxf>
      <numFmt numFmtId="2" formatCode="0.00"/>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s>
  <tableStyles count="0" defaultTableStyle="TableStyleMedium2" defaultPivotStyle="PivotStyleLight16"/>
  <colors>
    <mruColors>
      <color rgb="FF1F2937"/>
      <color rgb="FFB7DFC5"/>
      <color rgb="FF3E8E4D"/>
      <color rgb="FFD1D5DB"/>
      <color rgb="FF6B7280"/>
      <color rgb="FFE5E7EB"/>
      <color rgb="FF7FB28D"/>
      <color rgb="FFD6D3D1"/>
      <color rgb="FFBDBDBD"/>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latin typeface="Segoe UI" panose="020B0502040204020203" pitchFamily="34" charset="0"/>
                <a:cs typeface="Segoe UI" panose="020B0502040204020203" pitchFamily="34" charset="0"/>
              </a:rPr>
              <a:t>Employees by Department </a:t>
            </a:r>
            <a:endParaRPr lang="en-US" sz="12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'Kpi''s'!$B$10</c:f>
              <c:strCache>
                <c:ptCount val="1"/>
                <c:pt idx="0">
                  <c:v>Total</c:v>
                </c:pt>
              </c:strCache>
            </c:strRef>
          </c:tx>
          <c:spPr>
            <a:solidFill>
              <a:schemeClr val="accent1"/>
            </a:solidFill>
            <a:ln>
              <a:noFill/>
            </a:ln>
            <a:effectLst/>
          </c:spPr>
          <c:invertIfNegative val="0"/>
          <c:cat>
            <c:strRef>
              <c:f>'Kpi''s'!$A$11:$A$18</c:f>
              <c:strCache>
                <c:ptCount val="7"/>
                <c:pt idx="0">
                  <c:v>Finance</c:v>
                </c:pt>
                <c:pt idx="1">
                  <c:v>HR</c:v>
                </c:pt>
                <c:pt idx="2">
                  <c:v>IT</c:v>
                </c:pt>
                <c:pt idx="3">
                  <c:v>Marketing</c:v>
                </c:pt>
                <c:pt idx="4">
                  <c:v>Operations</c:v>
                </c:pt>
                <c:pt idx="5">
                  <c:v>R&amp;D</c:v>
                </c:pt>
                <c:pt idx="6">
                  <c:v>Sales</c:v>
                </c:pt>
              </c:strCache>
            </c:strRef>
          </c:cat>
          <c:val>
            <c:numRef>
              <c:f>'Kpi''s'!$B$11:$B$18</c:f>
              <c:numCache>
                <c:formatCode>General</c:formatCode>
                <c:ptCount val="7"/>
                <c:pt idx="0">
                  <c:v>42</c:v>
                </c:pt>
                <c:pt idx="1">
                  <c:v>41</c:v>
                </c:pt>
                <c:pt idx="2">
                  <c:v>36</c:v>
                </c:pt>
                <c:pt idx="3">
                  <c:v>34</c:v>
                </c:pt>
                <c:pt idx="4">
                  <c:v>56</c:v>
                </c:pt>
                <c:pt idx="5">
                  <c:v>46</c:v>
                </c:pt>
                <c:pt idx="6">
                  <c:v>45</c:v>
                </c:pt>
              </c:numCache>
            </c:numRef>
          </c:val>
          <c:extLst>
            <c:ext xmlns:c16="http://schemas.microsoft.com/office/drawing/2014/chart" uri="{C3380CC4-5D6E-409C-BE32-E72D297353CC}">
              <c16:uniqueId val="{00000000-62FE-4980-9623-1B708F3BB7CF}"/>
            </c:ext>
          </c:extLst>
        </c:ser>
        <c:dLbls>
          <c:showLegendKey val="0"/>
          <c:showVal val="0"/>
          <c:showCatName val="0"/>
          <c:showSerName val="0"/>
          <c:showPercent val="0"/>
          <c:showBubbleSize val="0"/>
        </c:dLbls>
        <c:gapWidth val="182"/>
        <c:axId val="154228783"/>
        <c:axId val="154234543"/>
      </c:barChart>
      <c:catAx>
        <c:axId val="15422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4543"/>
        <c:crosses val="autoZero"/>
        <c:auto val="1"/>
        <c:lblAlgn val="ctr"/>
        <c:lblOffset val="100"/>
        <c:noMultiLvlLbl val="0"/>
      </c:catAx>
      <c:valAx>
        <c:axId val="154234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2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Gender Distribution</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8F-4DC8-8A1B-FF72174F8C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8F-4DC8-8A1B-FF72174F8C97}"/>
              </c:ext>
            </c:extLst>
          </c:dPt>
          <c:cat>
            <c:strRef>
              <c:f>'Kpi''s'!$E$11:$E$13</c:f>
              <c:strCache>
                <c:ptCount val="2"/>
                <c:pt idx="0">
                  <c:v>Female</c:v>
                </c:pt>
                <c:pt idx="1">
                  <c:v>Male</c:v>
                </c:pt>
              </c:strCache>
            </c:strRef>
          </c:cat>
          <c:val>
            <c:numRef>
              <c:f>'Kpi''s'!$F$11:$F$13</c:f>
              <c:numCache>
                <c:formatCode>General</c:formatCode>
                <c:ptCount val="2"/>
                <c:pt idx="0">
                  <c:v>151</c:v>
                </c:pt>
                <c:pt idx="1">
                  <c:v>149</c:v>
                </c:pt>
              </c:numCache>
            </c:numRef>
          </c:val>
          <c:extLst>
            <c:ext xmlns:c16="http://schemas.microsoft.com/office/drawing/2014/chart" uri="{C3380CC4-5D6E-409C-BE32-E72D297353CC}">
              <c16:uniqueId val="{00000000-980E-43DE-B3C2-6C6FACAD08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Active vs Exited Employees</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BE-4ACA-BE9D-1CD24F32D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BE-4ACA-BE9D-1CD24F32D7CB}"/>
              </c:ext>
            </c:extLst>
          </c:dPt>
          <c:cat>
            <c:strRef>
              <c:f>'Kpi''s'!$H$12:$H$14</c:f>
              <c:strCache>
                <c:ptCount val="2"/>
                <c:pt idx="0">
                  <c:v>Active</c:v>
                </c:pt>
                <c:pt idx="1">
                  <c:v>Exited</c:v>
                </c:pt>
              </c:strCache>
            </c:strRef>
          </c:cat>
          <c:val>
            <c:numRef>
              <c:f>'Kpi''s'!$I$12:$I$14</c:f>
              <c:numCache>
                <c:formatCode>General</c:formatCode>
                <c:ptCount val="2"/>
                <c:pt idx="0">
                  <c:v>263</c:v>
                </c:pt>
                <c:pt idx="1">
                  <c:v>37</c:v>
                </c:pt>
              </c:numCache>
            </c:numRef>
          </c:val>
          <c:extLst>
            <c:ext xmlns:c16="http://schemas.microsoft.com/office/drawing/2014/chart" uri="{C3380CC4-5D6E-409C-BE32-E72D297353CC}">
              <c16:uniqueId val="{00000000-A513-4A34-ADC4-F3032C8EC1F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Hiring Trend</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'Kpi''s'!$N$2</c:f>
              <c:strCache>
                <c:ptCount val="1"/>
                <c:pt idx="0">
                  <c:v>Total</c:v>
                </c:pt>
              </c:strCache>
            </c:strRef>
          </c:tx>
          <c:spPr>
            <a:ln w="28575" cap="rnd">
              <a:solidFill>
                <a:schemeClr val="accent1"/>
              </a:solidFill>
              <a:round/>
            </a:ln>
            <a:effectLst/>
          </c:spPr>
          <c:marker>
            <c:symbol val="none"/>
          </c:marker>
          <c:cat>
            <c:strRef>
              <c:f>'Kpi''s'!$M$3:$M$18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'Kpi''s'!$N$3:$N$18</c:f>
              <c:numCache>
                <c:formatCode>General</c:formatCode>
                <c:ptCount val="15"/>
                <c:pt idx="0">
                  <c:v>11</c:v>
                </c:pt>
                <c:pt idx="1">
                  <c:v>24</c:v>
                </c:pt>
                <c:pt idx="2">
                  <c:v>27</c:v>
                </c:pt>
                <c:pt idx="3">
                  <c:v>17</c:v>
                </c:pt>
                <c:pt idx="4">
                  <c:v>23</c:v>
                </c:pt>
                <c:pt idx="5">
                  <c:v>14</c:v>
                </c:pt>
                <c:pt idx="6">
                  <c:v>15</c:v>
                </c:pt>
                <c:pt idx="7">
                  <c:v>20</c:v>
                </c:pt>
                <c:pt idx="8">
                  <c:v>21</c:v>
                </c:pt>
                <c:pt idx="9">
                  <c:v>20</c:v>
                </c:pt>
                <c:pt idx="10">
                  <c:v>16</c:v>
                </c:pt>
                <c:pt idx="11">
                  <c:v>23</c:v>
                </c:pt>
                <c:pt idx="12">
                  <c:v>30</c:v>
                </c:pt>
                <c:pt idx="13">
                  <c:v>20</c:v>
                </c:pt>
                <c:pt idx="14">
                  <c:v>19</c:v>
                </c:pt>
              </c:numCache>
            </c:numRef>
          </c:val>
          <c:smooth val="0"/>
          <c:extLst>
            <c:ext xmlns:c16="http://schemas.microsoft.com/office/drawing/2014/chart" uri="{C3380CC4-5D6E-409C-BE32-E72D297353CC}">
              <c16:uniqueId val="{00000000-872A-4BF1-A391-CDC5EDCB6ADA}"/>
            </c:ext>
          </c:extLst>
        </c:ser>
        <c:dLbls>
          <c:showLegendKey val="0"/>
          <c:showVal val="0"/>
          <c:showCatName val="0"/>
          <c:showSerName val="0"/>
          <c:showPercent val="0"/>
          <c:showBubbleSize val="0"/>
        </c:dLbls>
        <c:smooth val="0"/>
        <c:axId val="154202863"/>
        <c:axId val="154197583"/>
      </c:lineChart>
      <c:catAx>
        <c:axId val="1542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7583"/>
        <c:crosses val="autoZero"/>
        <c:auto val="1"/>
        <c:lblAlgn val="ctr"/>
        <c:lblOffset val="100"/>
        <c:noMultiLvlLbl val="0"/>
      </c:catAx>
      <c:valAx>
        <c:axId val="15419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Performance Rating Distribution</a:t>
            </a:r>
            <a:endParaRPr lang="en-US" b="1">
              <a:latin typeface="Segoe UI" panose="020B0502040204020203" pitchFamily="34" charset="0"/>
              <a:cs typeface="Segoe UI" panose="020B0502040204020203" pitchFamily="34" charset="0"/>
            </a:endParaRPr>
          </a:p>
        </c:rich>
      </c:tx>
      <c:layout>
        <c:manualLayout>
          <c:xMode val="edge"/>
          <c:yMode val="edge"/>
          <c:x val="0.26743497971844427"/>
          <c:y val="5.41760850739908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'Kpi''s'!$X$2</c:f>
              <c:strCache>
                <c:ptCount val="1"/>
                <c:pt idx="0">
                  <c:v>Total</c:v>
                </c:pt>
              </c:strCache>
            </c:strRef>
          </c:tx>
          <c:spPr>
            <a:solidFill>
              <a:schemeClr val="accent1"/>
            </a:solidFill>
            <a:ln>
              <a:noFill/>
            </a:ln>
            <a:effectLst/>
          </c:spPr>
          <c:invertIfNegative val="0"/>
          <c:cat>
            <c:strRef>
              <c:f>'Kpi''s'!$W$3:$W$8</c:f>
              <c:strCache>
                <c:ptCount val="5"/>
                <c:pt idx="0">
                  <c:v>1</c:v>
                </c:pt>
                <c:pt idx="1">
                  <c:v>2</c:v>
                </c:pt>
                <c:pt idx="2">
                  <c:v>3</c:v>
                </c:pt>
                <c:pt idx="3">
                  <c:v>4</c:v>
                </c:pt>
                <c:pt idx="4">
                  <c:v>5</c:v>
                </c:pt>
              </c:strCache>
            </c:strRef>
          </c:cat>
          <c:val>
            <c:numRef>
              <c:f>'Kpi''s'!$X$3:$X$8</c:f>
              <c:numCache>
                <c:formatCode>General</c:formatCode>
                <c:ptCount val="5"/>
                <c:pt idx="0">
                  <c:v>44</c:v>
                </c:pt>
                <c:pt idx="1">
                  <c:v>66</c:v>
                </c:pt>
                <c:pt idx="2">
                  <c:v>65</c:v>
                </c:pt>
                <c:pt idx="3">
                  <c:v>55</c:v>
                </c:pt>
                <c:pt idx="4">
                  <c:v>70</c:v>
                </c:pt>
              </c:numCache>
            </c:numRef>
          </c:val>
          <c:extLst>
            <c:ext xmlns:c16="http://schemas.microsoft.com/office/drawing/2014/chart" uri="{C3380CC4-5D6E-409C-BE32-E72D297353CC}">
              <c16:uniqueId val="{00000000-064E-4BC0-A626-66C46FAA220E}"/>
            </c:ext>
          </c:extLst>
        </c:ser>
        <c:dLbls>
          <c:showLegendKey val="0"/>
          <c:showVal val="0"/>
          <c:showCatName val="0"/>
          <c:showSerName val="0"/>
          <c:showPercent val="0"/>
          <c:showBubbleSize val="0"/>
        </c:dLbls>
        <c:gapWidth val="219"/>
        <c:overlap val="-27"/>
        <c:axId val="342717503"/>
        <c:axId val="342717023"/>
      </c:barChart>
      <c:catAx>
        <c:axId val="3427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023"/>
        <c:crosses val="autoZero"/>
        <c:auto val="1"/>
        <c:lblAlgn val="ctr"/>
        <c:lblOffset val="100"/>
        <c:noMultiLvlLbl val="0"/>
      </c:catAx>
      <c:valAx>
        <c:axId val="34271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latin typeface="Segoe UI" panose="020B0502040204020203" pitchFamily="34" charset="0"/>
                <a:cs typeface="Segoe UI" panose="020B0502040204020203" pitchFamily="34" charset="0"/>
              </a:rPr>
              <a:t>Attrition by Department</a:t>
            </a:r>
            <a:endParaRPr lang="en-US"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'Kpi''s'!$AC$3</c:f>
              <c:strCache>
                <c:ptCount val="1"/>
                <c:pt idx="0">
                  <c:v>Total</c:v>
                </c:pt>
              </c:strCache>
            </c:strRef>
          </c:tx>
          <c:spPr>
            <a:solidFill>
              <a:schemeClr val="accent1"/>
            </a:solidFill>
            <a:ln>
              <a:noFill/>
            </a:ln>
            <a:effectLst/>
          </c:spPr>
          <c:invertIfNegative val="0"/>
          <c:cat>
            <c:strRef>
              <c:f>'Kpi''s'!$AB$4:$AB$11</c:f>
              <c:strCache>
                <c:ptCount val="7"/>
                <c:pt idx="0">
                  <c:v>Finance</c:v>
                </c:pt>
                <c:pt idx="1">
                  <c:v>HR</c:v>
                </c:pt>
                <c:pt idx="2">
                  <c:v>IT</c:v>
                </c:pt>
                <c:pt idx="3">
                  <c:v>Marketing</c:v>
                </c:pt>
                <c:pt idx="4">
                  <c:v>Operations</c:v>
                </c:pt>
                <c:pt idx="5">
                  <c:v>R&amp;D</c:v>
                </c:pt>
                <c:pt idx="6">
                  <c:v>Sales</c:v>
                </c:pt>
              </c:strCache>
            </c:strRef>
          </c:cat>
          <c:val>
            <c:numRef>
              <c:f>'Kpi''s'!$AC$4:$AC$11</c:f>
              <c:numCache>
                <c:formatCode>General</c:formatCode>
                <c:ptCount val="7"/>
                <c:pt idx="0">
                  <c:v>42</c:v>
                </c:pt>
                <c:pt idx="1">
                  <c:v>41</c:v>
                </c:pt>
                <c:pt idx="2">
                  <c:v>36</c:v>
                </c:pt>
                <c:pt idx="3">
                  <c:v>34</c:v>
                </c:pt>
                <c:pt idx="4">
                  <c:v>56</c:v>
                </c:pt>
                <c:pt idx="5">
                  <c:v>46</c:v>
                </c:pt>
                <c:pt idx="6">
                  <c:v>45</c:v>
                </c:pt>
              </c:numCache>
            </c:numRef>
          </c:val>
          <c:extLst>
            <c:ext xmlns:c16="http://schemas.microsoft.com/office/drawing/2014/chart" uri="{C3380CC4-5D6E-409C-BE32-E72D297353CC}">
              <c16:uniqueId val="{00000000-7485-479C-8852-D9953FB6B825}"/>
            </c:ext>
          </c:extLst>
        </c:ser>
        <c:dLbls>
          <c:showLegendKey val="0"/>
          <c:showVal val="0"/>
          <c:showCatName val="0"/>
          <c:showSerName val="0"/>
          <c:showPercent val="0"/>
          <c:showBubbleSize val="0"/>
        </c:dLbls>
        <c:gapWidth val="182"/>
        <c:axId val="342631759"/>
        <c:axId val="342628399"/>
      </c:barChart>
      <c:catAx>
        <c:axId val="34263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28399"/>
        <c:crosses val="autoZero"/>
        <c:auto val="1"/>
        <c:lblAlgn val="ctr"/>
        <c:lblOffset val="100"/>
        <c:noMultiLvlLbl val="0"/>
      </c:catAx>
      <c:valAx>
        <c:axId val="34262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3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latin typeface="Segoe UI" panose="020B0502040204020203" pitchFamily="34" charset="0"/>
                <a:cs typeface="Segoe UI" panose="020B0502040204020203" pitchFamily="34" charset="0"/>
              </a:rPr>
              <a:t>Department Performance Overview</a:t>
            </a:r>
            <a:endParaRPr lang="en-US" sz="1200"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'Kpi''s'!$AI$21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'Kpi''s'!$AH$22:$AH$29</c:f>
              <c:strCache>
                <c:ptCount val="7"/>
                <c:pt idx="0">
                  <c:v>Finance</c:v>
                </c:pt>
                <c:pt idx="1">
                  <c:v>HR</c:v>
                </c:pt>
                <c:pt idx="2">
                  <c:v>IT</c:v>
                </c:pt>
                <c:pt idx="3">
                  <c:v>Marketing</c:v>
                </c:pt>
                <c:pt idx="4">
                  <c:v>Operations</c:v>
                </c:pt>
                <c:pt idx="5">
                  <c:v>R&amp;D</c:v>
                </c:pt>
                <c:pt idx="6">
                  <c:v>Sales</c:v>
                </c:pt>
              </c:strCache>
            </c:strRef>
          </c:cat>
          <c:val>
            <c:numRef>
              <c:f>'Kpi''s'!$AI$22:$AI$29</c:f>
              <c:numCache>
                <c:formatCode>0.0</c:formatCode>
                <c:ptCount val="7"/>
                <c:pt idx="0">
                  <c:v>3.2380952380952381</c:v>
                </c:pt>
                <c:pt idx="1">
                  <c:v>3.1707317073170733</c:v>
                </c:pt>
                <c:pt idx="2">
                  <c:v>2.9444444444444446</c:v>
                </c:pt>
                <c:pt idx="3">
                  <c:v>3.0294117647058822</c:v>
                </c:pt>
                <c:pt idx="4">
                  <c:v>2.7857142857142856</c:v>
                </c:pt>
                <c:pt idx="5">
                  <c:v>3.4565217391304346</c:v>
                </c:pt>
                <c:pt idx="6">
                  <c:v>3.3555555555555556</c:v>
                </c:pt>
              </c:numCache>
            </c:numRef>
          </c:val>
          <c:extLst>
            <c:ext xmlns:c16="http://schemas.microsoft.com/office/drawing/2014/chart" uri="{C3380CC4-5D6E-409C-BE32-E72D297353CC}">
              <c16:uniqueId val="{00000000-5EB2-4ABB-87C1-B190325462F5}"/>
            </c:ext>
          </c:extLst>
        </c:ser>
        <c:dLbls>
          <c:showLegendKey val="0"/>
          <c:showVal val="0"/>
          <c:showCatName val="0"/>
          <c:showSerName val="0"/>
          <c:showPercent val="0"/>
          <c:showBubbleSize val="0"/>
        </c:dLbls>
        <c:axId val="1134760944"/>
        <c:axId val="1134783024"/>
      </c:radarChart>
      <c:catAx>
        <c:axId val="11347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3024"/>
        <c:crosses val="autoZero"/>
        <c:auto val="1"/>
        <c:lblAlgn val="ctr"/>
        <c:lblOffset val="100"/>
        <c:noMultiLvlLbl val="0"/>
      </c:catAx>
      <c:valAx>
        <c:axId val="1134783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6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latin typeface="Segoe UI" panose="020B0502040204020203" pitchFamily="34" charset="0"/>
                <a:cs typeface="Segoe UI" panose="020B0502040204020203" pitchFamily="34" charset="0"/>
              </a:rPr>
              <a:t>Salary vs Experience Analysis</a:t>
            </a:r>
            <a:endParaRPr lang="en-US">
              <a:solidFill>
                <a:schemeClr val="tx1"/>
              </a:solidFill>
            </a:endParaRPr>
          </a:p>
        </c:rich>
      </c:tx>
      <c:layout>
        <c:manualLayout>
          <c:xMode val="edge"/>
          <c:yMode val="edge"/>
          <c:x val="0.244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'Kpi''s'!$AS$24</c:f>
              <c:strCache>
                <c:ptCount val="1"/>
                <c:pt idx="0">
                  <c:v>Sum of Salary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'Kpi''s'!$AR$25:$AR$40</c:f>
              <c:strCache>
                <c:ptCount val="16"/>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Grand Total</c:v>
                </c:pt>
              </c:strCache>
            </c:strRef>
          </c:xVal>
          <c:yVal>
            <c:numRef>
              <c:f>'Kpi''s'!$AS$25:$AS$40</c:f>
              <c:numCache>
                <c:formatCode>0.0,,"M"</c:formatCode>
                <c:ptCount val="16"/>
                <c:pt idx="0">
                  <c:v>1087482.4899999998</c:v>
                </c:pt>
                <c:pt idx="1">
                  <c:v>1308562.27</c:v>
                </c:pt>
                <c:pt idx="2">
                  <c:v>1985879.21</c:v>
                </c:pt>
                <c:pt idx="3">
                  <c:v>1503680.93</c:v>
                </c:pt>
                <c:pt idx="4">
                  <c:v>1150067.8999999999</c:v>
                </c:pt>
                <c:pt idx="5">
                  <c:v>1429119.1500000001</c:v>
                </c:pt>
                <c:pt idx="6">
                  <c:v>1394679.6600000001</c:v>
                </c:pt>
                <c:pt idx="7">
                  <c:v>1384062.8699999999</c:v>
                </c:pt>
                <c:pt idx="8">
                  <c:v>1138861.0899999999</c:v>
                </c:pt>
                <c:pt idx="9">
                  <c:v>966944.46</c:v>
                </c:pt>
                <c:pt idx="10">
                  <c:v>1675280.2700000003</c:v>
                </c:pt>
                <c:pt idx="11">
                  <c:v>1146287.6600000001</c:v>
                </c:pt>
                <c:pt idx="12">
                  <c:v>1608963.1400000001</c:v>
                </c:pt>
                <c:pt idx="13">
                  <c:v>1708162.3900000001</c:v>
                </c:pt>
                <c:pt idx="14">
                  <c:v>709539.17999999993</c:v>
                </c:pt>
                <c:pt idx="15">
                  <c:v>20197572.669999998</c:v>
                </c:pt>
              </c:numCache>
            </c:numRef>
          </c:yVal>
          <c:smooth val="0"/>
          <c:extLst>
            <c:ext xmlns:c16="http://schemas.microsoft.com/office/drawing/2014/chart" uri="{C3380CC4-5D6E-409C-BE32-E72D297353CC}">
              <c16:uniqueId val="{00000000-8143-4F4B-98AD-300901DB55B8}"/>
            </c:ext>
          </c:extLst>
        </c:ser>
        <c:dLbls>
          <c:showLegendKey val="0"/>
          <c:showVal val="0"/>
          <c:showCatName val="0"/>
          <c:showSerName val="0"/>
          <c:showPercent val="0"/>
          <c:showBubbleSize val="0"/>
        </c:dLbls>
        <c:axId val="1134767664"/>
        <c:axId val="1134780144"/>
      </c:scatterChart>
      <c:valAx>
        <c:axId val="113476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0144"/>
        <c:crosses val="autoZero"/>
        <c:crossBetween val="midCat"/>
      </c:valAx>
      <c:valAx>
        <c:axId val="1134780144"/>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67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334155"/>
                </a:solidFill>
                <a:latin typeface="Segoe UI" panose="020B0502040204020203" pitchFamily="34" charset="0"/>
                <a:cs typeface="Segoe UI" panose="020B0502040204020203" pitchFamily="34" charset="0"/>
              </a:rPr>
              <a:t>Employee Hiring Trend</a:t>
            </a:r>
            <a:endParaRPr lang="en-US" sz="1800" b="1">
              <a:solidFill>
                <a:srgbClr val="334155"/>
              </a:solidFill>
              <a:latin typeface="Segoe UI" panose="020B0502040204020203" pitchFamily="34" charset="0"/>
              <a:cs typeface="Segoe UI" panose="020B0502040204020203" pitchFamily="34" charset="0"/>
            </a:endParaRPr>
          </a:p>
        </c:rich>
      </c:tx>
      <c:layout>
        <c:manualLayout>
          <c:xMode val="edge"/>
          <c:yMode val="edge"/>
          <c:x val="0.38050716958112807"/>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outerShdw blurRad="50800" dist="38100" dir="2700000" algn="tl" rotWithShape="0">
              <a:prstClr val="black">
                <a:alpha val="40000"/>
              </a:prstClr>
            </a:outerShdw>
          </a:effectLst>
        </c:spPr>
        <c:marker>
          <c:symbol val="circle"/>
          <c:size val="4"/>
          <c:spPr>
            <a:solidFill>
              <a:schemeClr val="accent1"/>
            </a:solidFill>
            <a:ln w="12700">
              <a:solidFill>
                <a:schemeClr val="accent1">
                  <a:lumMod val="60000"/>
                  <a:lumOff val="40000"/>
                </a:schemeClr>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outerShdw blurRad="50800" dist="38100" dir="2700000" algn="tl" rotWithShape="0">
              <a:prstClr val="black">
                <a:alpha val="40000"/>
              </a:prstClr>
            </a:outerShdw>
          </a:effectLst>
        </c:spPr>
        <c:marker>
          <c:symbol val="circle"/>
          <c:size val="4"/>
          <c:spPr>
            <a:solidFill>
              <a:schemeClr val="accent1"/>
            </a:solidFill>
            <a:ln w="12700">
              <a:solidFill>
                <a:schemeClr val="accent1">
                  <a:lumMod val="60000"/>
                  <a:lumOff val="40000"/>
                </a:schemeClr>
              </a:solidFill>
            </a:ln>
            <a:effectLst>
              <a:outerShdw blurRad="50800" dist="38100" dir="2700000" algn="tl" rotWithShape="0">
                <a:prstClr val="black">
                  <a:alpha val="40000"/>
                </a:prstClr>
              </a:outerShdw>
            </a:effectLst>
          </c:spPr>
        </c:marker>
      </c:pivotFmt>
      <c:pivotFmt>
        <c:idx val="4"/>
        <c:spPr>
          <a:solidFill>
            <a:schemeClr val="accent1"/>
          </a:solidFill>
          <a:ln w="28575" cap="rnd">
            <a:solidFill>
              <a:schemeClr val="accent1"/>
            </a:solidFill>
            <a:round/>
          </a:ln>
          <a:effectLst>
            <a:outerShdw blurRad="50800" dist="38100" dir="2700000" algn="tl" rotWithShape="0">
              <a:prstClr val="black">
                <a:alpha val="40000"/>
              </a:prstClr>
            </a:outerShdw>
          </a:effectLst>
        </c:spPr>
        <c:marker>
          <c:symbol val="circle"/>
          <c:size val="4"/>
          <c:spPr>
            <a:solidFill>
              <a:schemeClr val="accent1"/>
            </a:solidFill>
            <a:ln w="12700">
              <a:solidFill>
                <a:schemeClr val="accent1">
                  <a:lumMod val="60000"/>
                  <a:lumOff val="40000"/>
                </a:schemeClr>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outerShdw blurRad="50800" dist="38100" dir="2700000" algn="tl" rotWithShape="0">
              <a:prstClr val="black">
                <a:alpha val="40000"/>
              </a:prstClr>
            </a:outerShdw>
          </a:effectLst>
        </c:spPr>
        <c:marker>
          <c:symbol val="circle"/>
          <c:size val="4"/>
          <c:spPr>
            <a:solidFill>
              <a:schemeClr val="accent1"/>
            </a:solidFill>
            <a:ln w="12700">
              <a:solidFill>
                <a:schemeClr val="accent1">
                  <a:lumMod val="60000"/>
                  <a:lumOff val="40000"/>
                </a:schemeClr>
              </a:solidFill>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'Kpi''s'!$N$2</c:f>
              <c:strCache>
                <c:ptCount val="1"/>
                <c:pt idx="0">
                  <c:v>Total</c:v>
                </c:pt>
              </c:strCache>
            </c:strRef>
          </c:tx>
          <c:spPr>
            <a:ln w="28575" cap="rnd">
              <a:solidFill>
                <a:schemeClr val="accent1"/>
              </a:solidFill>
              <a:round/>
            </a:ln>
            <a:effectLst>
              <a:outerShdw blurRad="50800" dist="38100" dir="2700000" algn="tl" rotWithShape="0">
                <a:prstClr val="black">
                  <a:alpha val="40000"/>
                </a:prstClr>
              </a:outerShdw>
            </a:effectLst>
          </c:spPr>
          <c:marker>
            <c:symbol val="circle"/>
            <c:size val="4"/>
            <c:spPr>
              <a:solidFill>
                <a:schemeClr val="accent1"/>
              </a:solidFill>
              <a:ln w="12700">
                <a:solidFill>
                  <a:schemeClr val="accent1">
                    <a:lumMod val="60000"/>
                    <a:lumOff val="40000"/>
                  </a:schemeClr>
                </a:solidFill>
              </a:ln>
              <a:effectLst>
                <a:outerShdw blurRad="50800" dist="38100" dir="2700000" algn="tl" rotWithShape="0">
                  <a:prstClr val="black">
                    <a:alpha val="40000"/>
                  </a:prstClr>
                </a:outerShdw>
              </a:effectLst>
            </c:spPr>
          </c:marker>
          <c:cat>
            <c:strRef>
              <c:f>'Kpi''s'!$M$3:$M$18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'Kpi''s'!$N$3:$N$18</c:f>
              <c:numCache>
                <c:formatCode>General</c:formatCode>
                <c:ptCount val="15"/>
                <c:pt idx="0">
                  <c:v>11</c:v>
                </c:pt>
                <c:pt idx="1">
                  <c:v>24</c:v>
                </c:pt>
                <c:pt idx="2">
                  <c:v>27</c:v>
                </c:pt>
                <c:pt idx="3">
                  <c:v>17</c:v>
                </c:pt>
                <c:pt idx="4">
                  <c:v>23</c:v>
                </c:pt>
                <c:pt idx="5">
                  <c:v>14</c:v>
                </c:pt>
                <c:pt idx="6">
                  <c:v>15</c:v>
                </c:pt>
                <c:pt idx="7">
                  <c:v>20</c:v>
                </c:pt>
                <c:pt idx="8">
                  <c:v>21</c:v>
                </c:pt>
                <c:pt idx="9">
                  <c:v>20</c:v>
                </c:pt>
                <c:pt idx="10">
                  <c:v>16</c:v>
                </c:pt>
                <c:pt idx="11">
                  <c:v>23</c:v>
                </c:pt>
                <c:pt idx="12">
                  <c:v>30</c:v>
                </c:pt>
                <c:pt idx="13">
                  <c:v>20</c:v>
                </c:pt>
                <c:pt idx="14">
                  <c:v>19</c:v>
                </c:pt>
              </c:numCache>
            </c:numRef>
          </c:val>
          <c:smooth val="0"/>
          <c:extLst>
            <c:ext xmlns:c16="http://schemas.microsoft.com/office/drawing/2014/chart" uri="{C3380CC4-5D6E-409C-BE32-E72D297353CC}">
              <c16:uniqueId val="{00000000-4814-402F-8DDB-3B29B2FC8F06}"/>
            </c:ext>
          </c:extLst>
        </c:ser>
        <c:dLbls>
          <c:showLegendKey val="0"/>
          <c:showVal val="0"/>
          <c:showCatName val="0"/>
          <c:showSerName val="0"/>
          <c:showPercent val="0"/>
          <c:showBubbleSize val="0"/>
        </c:dLbls>
        <c:marker val="1"/>
        <c:smooth val="0"/>
        <c:axId val="154202863"/>
        <c:axId val="154197583"/>
      </c:lineChart>
      <c:catAx>
        <c:axId val="15420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97583"/>
        <c:crosses val="autoZero"/>
        <c:auto val="1"/>
        <c:lblAlgn val="ctr"/>
        <c:lblOffset val="100"/>
        <c:noMultiLvlLbl val="0"/>
      </c:catAx>
      <c:valAx>
        <c:axId val="154197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1D5D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rgbClr val="1F2937"/>
                </a:solidFill>
                <a:latin typeface="Segoe UI" panose="020B0502040204020203" pitchFamily="34" charset="0"/>
                <a:cs typeface="Segoe UI" panose="020B0502040204020203" pitchFamily="34" charset="0"/>
              </a:rPr>
              <a:t>Attrition by Department</a:t>
            </a:r>
            <a:endParaRPr lang="en-US" sz="1800" b="1">
              <a:solidFill>
                <a:srgbClr val="1F2937"/>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'Kpi''s'!$AC$3</c:f>
              <c:strCache>
                <c:ptCount val="1"/>
                <c:pt idx="0">
                  <c:v>Total</c:v>
                </c:pt>
              </c:strCache>
            </c:strRef>
          </c:tx>
          <c:spPr>
            <a:solidFill>
              <a:schemeClr val="accent1"/>
            </a:solidFill>
            <a:ln>
              <a:noFill/>
            </a:ln>
            <a:effectLst/>
          </c:spPr>
          <c:invertIfNegative val="0"/>
          <c:cat>
            <c:strRef>
              <c:f>'Kpi''s'!$AB$4:$AB$11</c:f>
              <c:strCache>
                <c:ptCount val="7"/>
                <c:pt idx="0">
                  <c:v>Finance</c:v>
                </c:pt>
                <c:pt idx="1">
                  <c:v>HR</c:v>
                </c:pt>
                <c:pt idx="2">
                  <c:v>IT</c:v>
                </c:pt>
                <c:pt idx="3">
                  <c:v>Marketing</c:v>
                </c:pt>
                <c:pt idx="4">
                  <c:v>Operations</c:v>
                </c:pt>
                <c:pt idx="5">
                  <c:v>R&amp;D</c:v>
                </c:pt>
                <c:pt idx="6">
                  <c:v>Sales</c:v>
                </c:pt>
              </c:strCache>
            </c:strRef>
          </c:cat>
          <c:val>
            <c:numRef>
              <c:f>'Kpi''s'!$AC$4:$AC$11</c:f>
              <c:numCache>
                <c:formatCode>General</c:formatCode>
                <c:ptCount val="7"/>
                <c:pt idx="0">
                  <c:v>42</c:v>
                </c:pt>
                <c:pt idx="1">
                  <c:v>41</c:v>
                </c:pt>
                <c:pt idx="2">
                  <c:v>36</c:v>
                </c:pt>
                <c:pt idx="3">
                  <c:v>34</c:v>
                </c:pt>
                <c:pt idx="4">
                  <c:v>56</c:v>
                </c:pt>
                <c:pt idx="5">
                  <c:v>46</c:v>
                </c:pt>
                <c:pt idx="6">
                  <c:v>45</c:v>
                </c:pt>
              </c:numCache>
            </c:numRef>
          </c:val>
          <c:extLst>
            <c:ext xmlns:c16="http://schemas.microsoft.com/office/drawing/2014/chart" uri="{C3380CC4-5D6E-409C-BE32-E72D297353CC}">
              <c16:uniqueId val="{00000000-1541-4829-9D9E-B66C5BB61821}"/>
            </c:ext>
          </c:extLst>
        </c:ser>
        <c:dLbls>
          <c:showLegendKey val="0"/>
          <c:showVal val="0"/>
          <c:showCatName val="0"/>
          <c:showSerName val="0"/>
          <c:showPercent val="0"/>
          <c:showBubbleSize val="0"/>
        </c:dLbls>
        <c:gapWidth val="182"/>
        <c:axId val="342631759"/>
        <c:axId val="342628399"/>
      </c:barChart>
      <c:catAx>
        <c:axId val="342631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28399"/>
        <c:crosses val="autoZero"/>
        <c:auto val="1"/>
        <c:lblAlgn val="ctr"/>
        <c:lblOffset val="100"/>
        <c:noMultiLvlLbl val="0"/>
      </c:catAx>
      <c:valAx>
        <c:axId val="34262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63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1D5D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1F2937"/>
                </a:solidFill>
                <a:latin typeface="Segoe UI" panose="020B0502040204020203" pitchFamily="34" charset="0"/>
                <a:cs typeface="Segoe UI" panose="020B0502040204020203" pitchFamily="34" charset="0"/>
              </a:rPr>
              <a:t>Employee Performance Distribution</a:t>
            </a:r>
            <a:endParaRPr lang="en-US" sz="1400" b="1">
              <a:solidFill>
                <a:srgbClr val="1F2937"/>
              </a:solidFill>
              <a:latin typeface="Segoe UI" panose="020B0502040204020203" pitchFamily="34" charset="0"/>
              <a:cs typeface="Segoe UI" panose="020B0502040204020203" pitchFamily="34" charset="0"/>
            </a:endParaRPr>
          </a:p>
        </c:rich>
      </c:tx>
      <c:layout>
        <c:manualLayout>
          <c:xMode val="edge"/>
          <c:yMode val="edge"/>
          <c:x val="0.27340943347260083"/>
          <c:y val="3.6994287478771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'Kpi''s'!$X$2</c:f>
              <c:strCache>
                <c:ptCount val="1"/>
                <c:pt idx="0">
                  <c:v>Total</c:v>
                </c:pt>
              </c:strCache>
            </c:strRef>
          </c:tx>
          <c:spPr>
            <a:solidFill>
              <a:schemeClr val="accent1"/>
            </a:solidFill>
            <a:ln>
              <a:noFill/>
            </a:ln>
            <a:effectLst/>
          </c:spPr>
          <c:invertIfNegative val="0"/>
          <c:cat>
            <c:strRef>
              <c:f>'Kpi''s'!$W$3:$W$8</c:f>
              <c:strCache>
                <c:ptCount val="5"/>
                <c:pt idx="0">
                  <c:v>1</c:v>
                </c:pt>
                <c:pt idx="1">
                  <c:v>2</c:v>
                </c:pt>
                <c:pt idx="2">
                  <c:v>3</c:v>
                </c:pt>
                <c:pt idx="3">
                  <c:v>4</c:v>
                </c:pt>
                <c:pt idx="4">
                  <c:v>5</c:v>
                </c:pt>
              </c:strCache>
            </c:strRef>
          </c:cat>
          <c:val>
            <c:numRef>
              <c:f>'Kpi''s'!$X$3:$X$8</c:f>
              <c:numCache>
                <c:formatCode>General</c:formatCode>
                <c:ptCount val="5"/>
                <c:pt idx="0">
                  <c:v>44</c:v>
                </c:pt>
                <c:pt idx="1">
                  <c:v>66</c:v>
                </c:pt>
                <c:pt idx="2">
                  <c:v>65</c:v>
                </c:pt>
                <c:pt idx="3">
                  <c:v>55</c:v>
                </c:pt>
                <c:pt idx="4">
                  <c:v>70</c:v>
                </c:pt>
              </c:numCache>
            </c:numRef>
          </c:val>
          <c:extLst>
            <c:ext xmlns:c16="http://schemas.microsoft.com/office/drawing/2014/chart" uri="{C3380CC4-5D6E-409C-BE32-E72D297353CC}">
              <c16:uniqueId val="{00000000-2F82-4EE9-9D5D-947620AFD3E1}"/>
            </c:ext>
          </c:extLst>
        </c:ser>
        <c:dLbls>
          <c:showLegendKey val="0"/>
          <c:showVal val="0"/>
          <c:showCatName val="0"/>
          <c:showSerName val="0"/>
          <c:showPercent val="0"/>
          <c:showBubbleSize val="0"/>
        </c:dLbls>
        <c:gapWidth val="219"/>
        <c:overlap val="-27"/>
        <c:axId val="342717503"/>
        <c:axId val="342717023"/>
      </c:barChart>
      <c:catAx>
        <c:axId val="3427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023"/>
        <c:crosses val="autoZero"/>
        <c:auto val="1"/>
        <c:lblAlgn val="ctr"/>
        <c:lblOffset val="100"/>
        <c:noMultiLvlLbl val="0"/>
      </c:catAx>
      <c:valAx>
        <c:axId val="342717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71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1D5D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1F2937"/>
                </a:solidFill>
                <a:latin typeface="Segoe UI" panose="020B0502040204020203" pitchFamily="34" charset="0"/>
                <a:cs typeface="Segoe UI" panose="020B0502040204020203" pitchFamily="34" charset="0"/>
              </a:rPr>
              <a:t>Gender </a:t>
            </a:r>
            <a:r>
              <a:rPr lang="en-US" sz="1400" b="1" i="0" u="none" strike="noStrike" baseline="0">
                <a:solidFill>
                  <a:srgbClr val="1F2937"/>
                </a:solidFill>
                <a:latin typeface="Segoe UI" panose="020B0502040204020203" pitchFamily="34" charset="0"/>
                <a:cs typeface="Segoe UI" panose="020B0502040204020203" pitchFamily="34" charset="0"/>
              </a:rPr>
              <a:t>Distribution</a:t>
            </a:r>
            <a:endParaRPr lang="en-US" sz="1600" b="1">
              <a:solidFill>
                <a:srgbClr val="1F2937"/>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'Kpi''s'!$F$10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C3-43C1-AEC5-61B8BF2A10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C3-43C1-AEC5-61B8BF2A10D6}"/>
              </c:ext>
            </c:extLst>
          </c:dPt>
          <c:cat>
            <c:strRef>
              <c:f>'Kpi''s'!$E$11:$E$13</c:f>
              <c:strCache>
                <c:ptCount val="2"/>
                <c:pt idx="0">
                  <c:v>Female</c:v>
                </c:pt>
                <c:pt idx="1">
                  <c:v>Male</c:v>
                </c:pt>
              </c:strCache>
            </c:strRef>
          </c:cat>
          <c:val>
            <c:numRef>
              <c:f>'Kpi''s'!$F$11:$F$13</c:f>
              <c:numCache>
                <c:formatCode>General</c:formatCode>
                <c:ptCount val="2"/>
                <c:pt idx="0">
                  <c:v>151</c:v>
                </c:pt>
                <c:pt idx="1">
                  <c:v>149</c:v>
                </c:pt>
              </c:numCache>
            </c:numRef>
          </c:val>
          <c:extLst>
            <c:ext xmlns:c16="http://schemas.microsoft.com/office/drawing/2014/chart" uri="{C3380CC4-5D6E-409C-BE32-E72D297353CC}">
              <c16:uniqueId val="{00000004-7EC3-43C1-AEC5-61B8BF2A10D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2778231079615943"/>
          <c:y val="0.33620414114902297"/>
          <c:w val="0.34801467101197731"/>
          <c:h val="0.4564286964129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1D5D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Dashboard.xlsx]Kpi's!PivotTable15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latin typeface="Segoe UI" panose="020B0502040204020203" pitchFamily="34" charset="0"/>
                <a:cs typeface="Segoe UI" panose="020B0502040204020203" pitchFamily="34" charset="0"/>
              </a:rPr>
              <a:t>Department Performance Overview</a:t>
            </a:r>
            <a:endParaRPr lang="en-US" sz="1200" b="1">
              <a:solidFill>
                <a:schemeClr val="tx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'Kpi''s'!$AI$21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'Kpi''s'!$AH$22:$AH$29</c:f>
              <c:strCache>
                <c:ptCount val="7"/>
                <c:pt idx="0">
                  <c:v>Finance</c:v>
                </c:pt>
                <c:pt idx="1">
                  <c:v>HR</c:v>
                </c:pt>
                <c:pt idx="2">
                  <c:v>IT</c:v>
                </c:pt>
                <c:pt idx="3">
                  <c:v>Marketing</c:v>
                </c:pt>
                <c:pt idx="4">
                  <c:v>Operations</c:v>
                </c:pt>
                <c:pt idx="5">
                  <c:v>R&amp;D</c:v>
                </c:pt>
                <c:pt idx="6">
                  <c:v>Sales</c:v>
                </c:pt>
              </c:strCache>
            </c:strRef>
          </c:cat>
          <c:val>
            <c:numRef>
              <c:f>'Kpi''s'!$AI$22:$AI$29</c:f>
              <c:numCache>
                <c:formatCode>0.0</c:formatCode>
                <c:ptCount val="7"/>
                <c:pt idx="0">
                  <c:v>3.2380952380952381</c:v>
                </c:pt>
                <c:pt idx="1">
                  <c:v>3.1707317073170733</c:v>
                </c:pt>
                <c:pt idx="2">
                  <c:v>2.9444444444444446</c:v>
                </c:pt>
                <c:pt idx="3">
                  <c:v>3.0294117647058822</c:v>
                </c:pt>
                <c:pt idx="4">
                  <c:v>2.7857142857142856</c:v>
                </c:pt>
                <c:pt idx="5">
                  <c:v>3.4565217391304346</c:v>
                </c:pt>
                <c:pt idx="6">
                  <c:v>3.3555555555555556</c:v>
                </c:pt>
              </c:numCache>
            </c:numRef>
          </c:val>
          <c:extLst>
            <c:ext xmlns:c16="http://schemas.microsoft.com/office/drawing/2014/chart" uri="{C3380CC4-5D6E-409C-BE32-E72D297353CC}">
              <c16:uniqueId val="{00000000-7A3B-402B-A169-C753DEB78BBB}"/>
            </c:ext>
          </c:extLst>
        </c:ser>
        <c:dLbls>
          <c:showLegendKey val="0"/>
          <c:showVal val="0"/>
          <c:showCatName val="0"/>
          <c:showSerName val="0"/>
          <c:showPercent val="0"/>
          <c:showBubbleSize val="0"/>
        </c:dLbls>
        <c:axId val="1134760944"/>
        <c:axId val="1134783024"/>
      </c:radarChart>
      <c:catAx>
        <c:axId val="11347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3024"/>
        <c:crosses val="autoZero"/>
        <c:auto val="1"/>
        <c:lblAlgn val="ctr"/>
        <c:lblOffset val="100"/>
        <c:noMultiLvlLbl val="0"/>
      </c:catAx>
      <c:valAx>
        <c:axId val="11347830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6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latin typeface="Segoe UI" panose="020B0502040204020203" pitchFamily="34" charset="0"/>
                <a:cs typeface="Segoe UI" panose="020B0502040204020203" pitchFamily="34" charset="0"/>
              </a:rPr>
              <a:t>Salary vs. Years at Company</a:t>
            </a:r>
            <a:endParaRPr lang="en-US" sz="1600" b="1">
              <a:solidFill>
                <a:schemeClr val="tx1"/>
              </a:solidFill>
              <a:latin typeface="Segoe UI" panose="020B0502040204020203" pitchFamily="34" charset="0"/>
              <a:cs typeface="Segoe UI" panose="020B0502040204020203" pitchFamily="34" charset="0"/>
            </a:endParaRPr>
          </a:p>
        </c:rich>
      </c:tx>
      <c:layout>
        <c:manualLayout>
          <c:xMode val="edge"/>
          <c:yMode val="edge"/>
          <c:x val="0.28385281780642302"/>
          <c:y val="2.777776272589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'Kpi''s'!$AS$24</c:f>
              <c:strCache>
                <c:ptCount val="1"/>
                <c:pt idx="0">
                  <c:v>Sum of Salary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'Kpi''s'!$AR$25:$AR$40</c:f>
              <c:strCache>
                <c:ptCount val="16"/>
                <c:pt idx="0">
                  <c:v>2</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Grand Total</c:v>
                </c:pt>
              </c:strCache>
            </c:strRef>
          </c:xVal>
          <c:yVal>
            <c:numRef>
              <c:f>'Kpi''s'!$AS$25:$AS$40</c:f>
              <c:numCache>
                <c:formatCode>0.0,,"M"</c:formatCode>
                <c:ptCount val="16"/>
                <c:pt idx="0">
                  <c:v>1087482.4899999998</c:v>
                </c:pt>
                <c:pt idx="1">
                  <c:v>1308562.27</c:v>
                </c:pt>
                <c:pt idx="2">
                  <c:v>1985879.21</c:v>
                </c:pt>
                <c:pt idx="3">
                  <c:v>1503680.93</c:v>
                </c:pt>
                <c:pt idx="4">
                  <c:v>1150067.8999999999</c:v>
                </c:pt>
                <c:pt idx="5">
                  <c:v>1429119.1500000001</c:v>
                </c:pt>
                <c:pt idx="6">
                  <c:v>1394679.6600000001</c:v>
                </c:pt>
                <c:pt idx="7">
                  <c:v>1384062.8699999999</c:v>
                </c:pt>
                <c:pt idx="8">
                  <c:v>1138861.0899999999</c:v>
                </c:pt>
                <c:pt idx="9">
                  <c:v>966944.46</c:v>
                </c:pt>
                <c:pt idx="10">
                  <c:v>1675280.2700000003</c:v>
                </c:pt>
                <c:pt idx="11">
                  <c:v>1146287.6600000001</c:v>
                </c:pt>
                <c:pt idx="12">
                  <c:v>1608963.1400000001</c:v>
                </c:pt>
                <c:pt idx="13">
                  <c:v>1708162.3900000001</c:v>
                </c:pt>
                <c:pt idx="14">
                  <c:v>709539.17999999993</c:v>
                </c:pt>
                <c:pt idx="15">
                  <c:v>20197572.669999998</c:v>
                </c:pt>
              </c:numCache>
            </c:numRef>
          </c:yVal>
          <c:smooth val="0"/>
          <c:extLst>
            <c:ext xmlns:c16="http://schemas.microsoft.com/office/drawing/2014/chart" uri="{C3380CC4-5D6E-409C-BE32-E72D297353CC}">
              <c16:uniqueId val="{00000000-AE16-40A1-97A1-5755D636DF34}"/>
            </c:ext>
          </c:extLst>
        </c:ser>
        <c:dLbls>
          <c:showLegendKey val="0"/>
          <c:showVal val="0"/>
          <c:showCatName val="0"/>
          <c:showSerName val="0"/>
          <c:showPercent val="0"/>
          <c:showBubbleSize val="0"/>
        </c:dLbls>
        <c:axId val="1134767664"/>
        <c:axId val="1134780144"/>
      </c:scatterChart>
      <c:valAx>
        <c:axId val="11347676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80144"/>
        <c:crosses val="autoZero"/>
        <c:crossBetween val="midCat"/>
      </c:valAx>
      <c:valAx>
        <c:axId val="1134780144"/>
        <c:scaling>
          <c:orientation val="minMax"/>
        </c:scaling>
        <c:delete val="0"/>
        <c:axPos val="l"/>
        <c:numFmt formatCode="0.0,,&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767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1">
                <a:solidFill>
                  <a:schemeClr val="tx1"/>
                </a:solidFill>
                <a:latin typeface="Segoe UI" panose="020B0502040204020203" pitchFamily="34" charset="0"/>
                <a:cs typeface="Segoe UI" panose="020B0502040204020203" pitchFamily="34" charset="0"/>
              </a:rPr>
              <a:t>Employee Distribution by Department</a:t>
            </a:r>
            <a:endParaRPr lang="en-US" sz="1600" b="1">
              <a:solidFill>
                <a:schemeClr val="tx1"/>
              </a:solidFill>
              <a:effectLst/>
              <a:latin typeface="Segoe UI" panose="020B0502040204020203" pitchFamily="34" charset="0"/>
              <a:cs typeface="Segoe UI" panose="020B0502040204020203" pitchFamily="34" charset="0"/>
            </a:endParaRPr>
          </a:p>
        </cx:rich>
      </cx:tx>
    </cx:title>
    <cx:plotArea>
      <cx:plotAreaRegion>
        <cx:series layoutId="treemap" uniqueId="{F87E6083-0320-415C-9846-86ECE53D69C3}">
          <cx:tx>
            <cx:txData>
              <cx:f>_xlchart.v1.10</cx:f>
              <cx:v>Count of employees_id</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1.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66674</xdr:rowOff>
    </xdr:from>
    <xdr:to>
      <xdr:col>2</xdr:col>
      <xdr:colOff>9525</xdr:colOff>
      <xdr:row>27</xdr:row>
      <xdr:rowOff>80961</xdr:rowOff>
    </xdr:to>
    <xdr:graphicFrame macro="">
      <xdr:nvGraphicFramePr>
        <xdr:cNvPr id="2" name="Chart 1">
          <a:extLst>
            <a:ext uri="{FF2B5EF4-FFF2-40B4-BE49-F238E27FC236}">
              <a16:creationId xmlns:a16="http://schemas.microsoft.com/office/drawing/2014/main" id="{8DF12FB9-3FD7-382B-9D0D-19CC1C479C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942975</xdr:colOff>
      <xdr:row>13</xdr:row>
      <xdr:rowOff>95249</xdr:rowOff>
    </xdr:from>
    <xdr:to>
      <xdr:col>6</xdr:col>
      <xdr:colOff>19050</xdr:colOff>
      <xdr:row>23</xdr:row>
      <xdr:rowOff>85725</xdr:rowOff>
    </xdr:to>
    <xdr:graphicFrame macro="">
      <xdr:nvGraphicFramePr>
        <xdr:cNvPr id="3" name="Chart 2">
          <a:extLst>
            <a:ext uri="{FF2B5EF4-FFF2-40B4-BE49-F238E27FC236}">
              <a16:creationId xmlns:a16="http://schemas.microsoft.com/office/drawing/2014/main" id="{067E102E-F859-18EB-7266-09EFF7FBA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538162</xdr:colOff>
      <xdr:row>14</xdr:row>
      <xdr:rowOff>66675</xdr:rowOff>
    </xdr:from>
    <xdr:to>
      <xdr:col>10</xdr:col>
      <xdr:colOff>95250</xdr:colOff>
      <xdr:row>24</xdr:row>
      <xdr:rowOff>109537</xdr:rowOff>
    </xdr:to>
    <xdr:graphicFrame macro="">
      <xdr:nvGraphicFramePr>
        <xdr:cNvPr id="4" name="Chart 3">
          <a:extLst>
            <a:ext uri="{FF2B5EF4-FFF2-40B4-BE49-F238E27FC236}">
              <a16:creationId xmlns:a16="http://schemas.microsoft.com/office/drawing/2014/main" id="{76DF319E-A32C-8D82-E2B5-0779F8B11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114300</xdr:colOff>
      <xdr:row>1</xdr:row>
      <xdr:rowOff>171449</xdr:rowOff>
    </xdr:from>
    <xdr:to>
      <xdr:col>21</xdr:col>
      <xdr:colOff>19050</xdr:colOff>
      <xdr:row>17</xdr:row>
      <xdr:rowOff>180975</xdr:rowOff>
    </xdr:to>
    <xdr:graphicFrame macro="">
      <xdr:nvGraphicFramePr>
        <xdr:cNvPr id="5" name="Chart 4">
          <a:extLst>
            <a:ext uri="{FF2B5EF4-FFF2-40B4-BE49-F238E27FC236}">
              <a16:creationId xmlns:a16="http://schemas.microsoft.com/office/drawing/2014/main" id="{260F4A0D-704C-0E44-06F0-A81853FE0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228600</xdr:colOff>
      <xdr:row>16</xdr:row>
      <xdr:rowOff>66674</xdr:rowOff>
    </xdr:from>
    <xdr:to>
      <xdr:col>19</xdr:col>
      <xdr:colOff>114300</xdr:colOff>
      <xdr:row>27</xdr:row>
      <xdr:rowOff>80961</xdr:rowOff>
    </xdr:to>
    <xdr:graphicFrame macro="">
      <xdr:nvGraphicFramePr>
        <xdr:cNvPr id="6" name="Chart 5">
          <a:extLst>
            <a:ext uri="{FF2B5EF4-FFF2-40B4-BE49-F238E27FC236}">
              <a16:creationId xmlns:a16="http://schemas.microsoft.com/office/drawing/2014/main" id="{CBC804F0-0E4C-680F-DF49-8C127FEA7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600074</xdr:colOff>
      <xdr:row>11</xdr:row>
      <xdr:rowOff>76199</xdr:rowOff>
    </xdr:from>
    <xdr:to>
      <xdr:col>29</xdr:col>
      <xdr:colOff>428624</xdr:colOff>
      <xdr:row>22</xdr:row>
      <xdr:rowOff>52386</xdr:rowOff>
    </xdr:to>
    <xdr:graphicFrame macro="">
      <xdr:nvGraphicFramePr>
        <xdr:cNvPr id="7" name="Chart 6">
          <a:extLst>
            <a:ext uri="{FF2B5EF4-FFF2-40B4-BE49-F238E27FC236}">
              <a16:creationId xmlns:a16="http://schemas.microsoft.com/office/drawing/2014/main" id="{A44CBC17-972E-25A6-B489-8273EB1CD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43</xdr:col>
      <xdr:colOff>38100</xdr:colOff>
      <xdr:row>6</xdr:row>
      <xdr:rowOff>57150</xdr:rowOff>
    </xdr:from>
    <xdr:to>
      <xdr:col>45</xdr:col>
      <xdr:colOff>361950</xdr:colOff>
      <xdr:row>19</xdr:row>
      <xdr:rowOff>104775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1887766F-D61F-2283-F8F9-BCC437EAF2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947100" y="1200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142875</xdr:colOff>
      <xdr:row>4</xdr:row>
      <xdr:rowOff>38101</xdr:rowOff>
    </xdr:from>
    <xdr:to>
      <xdr:col>39</xdr:col>
      <xdr:colOff>142875</xdr:colOff>
      <xdr:row>9</xdr:row>
      <xdr:rowOff>152401</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26091287-D39D-2045-E39A-EAD249B92E5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9784675" y="80010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266700</xdr:colOff>
      <xdr:row>3</xdr:row>
      <xdr:rowOff>38100</xdr:rowOff>
    </xdr:from>
    <xdr:to>
      <xdr:col>41</xdr:col>
      <xdr:colOff>609600</xdr:colOff>
      <xdr:row>16</xdr:row>
      <xdr:rowOff>85725</xdr:rowOff>
    </xdr:to>
    <mc:AlternateContent xmlns:mc="http://schemas.openxmlformats.org/markup-compatibility/2006" xmlns:a14="http://schemas.microsoft.com/office/drawing/2010/main">
      <mc:Choice Requires="a14">
        <xdr:graphicFrame macro="">
          <xdr:nvGraphicFramePr>
            <xdr:cNvPr id="12" name="Years (Date_of_Joining)">
              <a:extLst>
                <a:ext uri="{FF2B5EF4-FFF2-40B4-BE49-F238E27FC236}">
                  <a16:creationId xmlns:a16="http://schemas.microsoft.com/office/drawing/2014/main" id="{AF517FDD-CA30-A701-8E3E-8E179193F8B7}"/>
                </a:ext>
              </a:extLst>
            </xdr:cNvPr>
            <xdr:cNvGraphicFramePr/>
          </xdr:nvGraphicFramePr>
          <xdr:xfrm>
            <a:off x="0" y="0"/>
            <a:ext cx="0" cy="0"/>
          </xdr:xfrm>
          <a:graphic>
            <a:graphicData uri="http://schemas.microsoft.com/office/drawing/2010/slicer">
              <sle:slicer xmlns:sle="http://schemas.microsoft.com/office/drawing/2010/slicer" name="Years (Date_of_Joining)"/>
            </a:graphicData>
          </a:graphic>
        </xdr:graphicFrame>
      </mc:Choice>
      <mc:Fallback xmlns="">
        <xdr:sp macro="" textlink="">
          <xdr:nvSpPr>
            <xdr:cNvPr id="0" name=""/>
            <xdr:cNvSpPr>
              <a:spLocks noTextEdit="1"/>
            </xdr:cNvSpPr>
          </xdr:nvSpPr>
          <xdr:spPr>
            <a:xfrm>
              <a:off x="31737300" y="609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142875</xdr:colOff>
      <xdr:row>10</xdr:row>
      <xdr:rowOff>57150</xdr:rowOff>
    </xdr:from>
    <xdr:to>
      <xdr:col>39</xdr:col>
      <xdr:colOff>142875</xdr:colOff>
      <xdr:row>18</xdr:row>
      <xdr:rowOff>9525</xdr:rowOff>
    </xdr:to>
    <mc:AlternateContent xmlns:mc="http://schemas.openxmlformats.org/markup-compatibility/2006" xmlns:a14="http://schemas.microsoft.com/office/drawing/2010/main">
      <mc:Choice Requires="a14">
        <xdr:graphicFrame macro="">
          <xdr:nvGraphicFramePr>
            <xdr:cNvPr id="14" name="Business_Travel">
              <a:extLst>
                <a:ext uri="{FF2B5EF4-FFF2-40B4-BE49-F238E27FC236}">
                  <a16:creationId xmlns:a16="http://schemas.microsoft.com/office/drawing/2014/main" id="{285B3D9F-45F4-63E3-B4C8-7ECB980FBD02}"/>
                </a:ext>
              </a:extLst>
            </xdr:cNvPr>
            <xdr:cNvGraphicFramePr/>
          </xdr:nvGraphicFramePr>
          <xdr:xfrm>
            <a:off x="0" y="0"/>
            <a:ext cx="0" cy="0"/>
          </xdr:xfrm>
          <a:graphic>
            <a:graphicData uri="http://schemas.microsoft.com/office/drawing/2010/slicer">
              <sle:slicer xmlns:sle="http://schemas.microsoft.com/office/drawing/2010/slicer" name="Business_Travel"/>
            </a:graphicData>
          </a:graphic>
        </xdr:graphicFrame>
      </mc:Choice>
      <mc:Fallback xmlns="">
        <xdr:sp macro="" textlink="">
          <xdr:nvSpPr>
            <xdr:cNvPr id="0" name=""/>
            <xdr:cNvSpPr>
              <a:spLocks noTextEdit="1"/>
            </xdr:cNvSpPr>
          </xdr:nvSpPr>
          <xdr:spPr>
            <a:xfrm>
              <a:off x="29784675" y="1962150"/>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381000</xdr:colOff>
      <xdr:row>3</xdr:row>
      <xdr:rowOff>133350</xdr:rowOff>
    </xdr:from>
    <xdr:to>
      <xdr:col>32</xdr:col>
      <xdr:colOff>466725</xdr:colOff>
      <xdr:row>16</xdr:row>
      <xdr:rowOff>180975</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FB6B6DEC-EDD1-E979-7BED-9A83E3D23F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755600"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552450</xdr:colOff>
      <xdr:row>5</xdr:row>
      <xdr:rowOff>85725</xdr:rowOff>
    </xdr:from>
    <xdr:to>
      <xdr:col>34</xdr:col>
      <xdr:colOff>895350</xdr:colOff>
      <xdr:row>18</xdr:row>
      <xdr:rowOff>133350</xdr:rowOff>
    </xdr:to>
    <mc:AlternateContent xmlns:mc="http://schemas.openxmlformats.org/markup-compatibility/2006" xmlns:a14="http://schemas.microsoft.com/office/drawing/2010/main">
      <mc:Choice Requires="a14">
        <xdr:graphicFrame macro="">
          <xdr:nvGraphicFramePr>
            <xdr:cNvPr id="16" name="Marital_Status">
              <a:extLst>
                <a:ext uri="{FF2B5EF4-FFF2-40B4-BE49-F238E27FC236}">
                  <a16:creationId xmlns:a16="http://schemas.microsoft.com/office/drawing/2014/main" id="{B4110AB3-8479-5593-B3C7-6EE4DCBB467E}"/>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27755850" y="1038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590550</xdr:colOff>
      <xdr:row>9</xdr:row>
      <xdr:rowOff>57150</xdr:rowOff>
    </xdr:from>
    <xdr:to>
      <xdr:col>37</xdr:col>
      <xdr:colOff>476250</xdr:colOff>
      <xdr:row>23</xdr:row>
      <xdr:rowOff>133350</xdr:rowOff>
    </xdr:to>
    <xdr:graphicFrame macro="">
      <xdr:nvGraphicFramePr>
        <xdr:cNvPr id="10" name="Chart 9">
          <a:extLst>
            <a:ext uri="{FF2B5EF4-FFF2-40B4-BE49-F238E27FC236}">
              <a16:creationId xmlns:a16="http://schemas.microsoft.com/office/drawing/2014/main" id="{5C5B6D5C-6329-8520-5EFA-E91C8E698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476250</xdr:colOff>
      <xdr:row>20</xdr:row>
      <xdr:rowOff>47625</xdr:rowOff>
    </xdr:from>
    <xdr:to>
      <xdr:col>43</xdr:col>
      <xdr:colOff>228600</xdr:colOff>
      <xdr:row>34</xdr:row>
      <xdr:rowOff>123825</xdr:rowOff>
    </xdr:to>
    <xdr:graphicFrame macro="">
      <xdr:nvGraphicFramePr>
        <xdr:cNvPr id="13" name="Chart 12">
          <a:extLst>
            <a:ext uri="{FF2B5EF4-FFF2-40B4-BE49-F238E27FC236}">
              <a16:creationId xmlns:a16="http://schemas.microsoft.com/office/drawing/2014/main" id="{06216A0A-DE4C-12BC-F309-609E59BE9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916780</xdr:colOff>
      <xdr:row>0</xdr:row>
      <xdr:rowOff>23812</xdr:rowOff>
    </xdr:from>
    <xdr:to>
      <xdr:col>26</xdr:col>
      <xdr:colOff>35716</xdr:colOff>
      <xdr:row>34</xdr:row>
      <xdr:rowOff>142874</xdr:rowOff>
    </xdr:to>
    <xdr:sp macro="" textlink="">
      <xdr:nvSpPr>
        <xdr:cNvPr id="3" name="Rectangle 2">
          <a:extLst>
            <a:ext uri="{FF2B5EF4-FFF2-40B4-BE49-F238E27FC236}">
              <a16:creationId xmlns:a16="http://schemas.microsoft.com/office/drawing/2014/main" id="{22D9C3B3-2E4F-4B28-9956-5238BCDF93F3}"/>
            </a:ext>
          </a:extLst>
        </xdr:cNvPr>
        <xdr:cNvSpPr/>
      </xdr:nvSpPr>
      <xdr:spPr>
        <a:xfrm>
          <a:off x="2131218" y="23812"/>
          <a:ext cx="14037467" cy="6596062"/>
        </a:xfrm>
        <a:prstGeom prst="rect">
          <a:avLst/>
        </a:prstGeom>
        <a:solidFill>
          <a:srgbClr val="B7DFC5"/>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11906</xdr:colOff>
      <xdr:row>34</xdr:row>
      <xdr:rowOff>71436</xdr:rowOff>
    </xdr:to>
    <xdr:sp macro="" textlink="">
      <xdr:nvSpPr>
        <xdr:cNvPr id="2" name="Rectangle 1">
          <a:extLst>
            <a:ext uri="{FF2B5EF4-FFF2-40B4-BE49-F238E27FC236}">
              <a16:creationId xmlns:a16="http://schemas.microsoft.com/office/drawing/2014/main" id="{D17F9490-B531-E9DC-0F49-B1A50B233EFE}"/>
            </a:ext>
          </a:extLst>
        </xdr:cNvPr>
        <xdr:cNvSpPr/>
      </xdr:nvSpPr>
      <xdr:spPr>
        <a:xfrm>
          <a:off x="0" y="0"/>
          <a:ext cx="2178844" cy="6548436"/>
        </a:xfrm>
        <a:prstGeom prst="rect">
          <a:avLst/>
        </a:prstGeom>
        <a:solidFill>
          <a:srgbClr val="3E8E4D"/>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59532</xdr:colOff>
      <xdr:row>7</xdr:row>
      <xdr:rowOff>11906</xdr:rowOff>
    </xdr:from>
    <xdr:to>
      <xdr:col>2</xdr:col>
      <xdr:colOff>726282</xdr:colOff>
      <xdr:row>33</xdr:row>
      <xdr:rowOff>130970</xdr:rowOff>
    </xdr:to>
    <xdr:sp macro="" textlink="">
      <xdr:nvSpPr>
        <xdr:cNvPr id="4" name="TextBox 3">
          <a:extLst>
            <a:ext uri="{FF2B5EF4-FFF2-40B4-BE49-F238E27FC236}">
              <a16:creationId xmlns:a16="http://schemas.microsoft.com/office/drawing/2014/main" id="{FCA09BFC-DE80-5FEE-017B-343CB108DAC3}"/>
            </a:ext>
          </a:extLst>
        </xdr:cNvPr>
        <xdr:cNvSpPr txBox="1"/>
      </xdr:nvSpPr>
      <xdr:spPr>
        <a:xfrm>
          <a:off x="59532" y="1345406"/>
          <a:ext cx="1881188" cy="5072064"/>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t"/>
        <a:lstStyle/>
        <a:p>
          <a:pPr algn="l"/>
          <a:r>
            <a:rPr lang="en-US" sz="1600" b="1" i="0">
              <a:solidFill>
                <a:schemeClr val="dk1"/>
              </a:solidFill>
              <a:effectLst/>
              <a:latin typeface="+mn-lt"/>
              <a:ea typeface="+mn-ea"/>
              <a:cs typeface="+mn-cs"/>
            </a:rPr>
            <a:t>Total Employees</a:t>
          </a:r>
          <a:endParaRPr lang="en-US" sz="1600">
            <a:effectLst/>
          </a:endParaRPr>
        </a:p>
        <a:p>
          <a:pPr algn="l"/>
          <a:r>
            <a:rPr lang="en-US" sz="2400" b="1" i="0">
              <a:solidFill>
                <a:schemeClr val="dk1"/>
              </a:solidFill>
              <a:effectLst/>
              <a:latin typeface="+mn-lt"/>
              <a:ea typeface="+mn-ea"/>
              <a:cs typeface="+mn-cs"/>
            </a:rPr>
            <a:t>300</a:t>
          </a:r>
          <a:r>
            <a:rPr lang="en-US" sz="2800">
              <a:solidFill>
                <a:schemeClr val="dk1"/>
              </a:solidFill>
              <a:effectLst/>
              <a:latin typeface="+mn-lt"/>
              <a:ea typeface="+mn-ea"/>
              <a:cs typeface="+mn-cs"/>
            </a:rPr>
            <a:t> </a:t>
          </a:r>
          <a:endParaRPr lang="en-US" sz="2800">
            <a:effectLst/>
          </a:endParaRP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400" b="1" i="0">
              <a:solidFill>
                <a:schemeClr val="dk1"/>
              </a:solidFill>
              <a:effectLst/>
              <a:latin typeface="+mn-lt"/>
              <a:ea typeface="+mn-ea"/>
              <a:cs typeface="+mn-cs"/>
            </a:rPr>
            <a:t>Active Employees</a:t>
          </a:r>
          <a:r>
            <a:rPr lang="en-US" sz="1400" b="1">
              <a:solidFill>
                <a:schemeClr val="dk1"/>
              </a:solidFill>
              <a:effectLst/>
              <a:latin typeface="+mn-lt"/>
              <a:ea typeface="+mn-ea"/>
              <a:cs typeface="+mn-cs"/>
            </a:rPr>
            <a:t>  </a:t>
          </a:r>
          <a:br>
            <a:rPr lang="en-US" sz="1100">
              <a:solidFill>
                <a:schemeClr val="dk1"/>
              </a:solidFill>
              <a:effectLst/>
              <a:latin typeface="+mn-lt"/>
              <a:ea typeface="+mn-ea"/>
              <a:cs typeface="+mn-cs"/>
            </a:rPr>
          </a:br>
          <a:r>
            <a:rPr lang="en-US" sz="2400" b="1">
              <a:solidFill>
                <a:schemeClr val="dk1"/>
              </a:solidFill>
              <a:effectLst/>
              <a:latin typeface="+mn-lt"/>
              <a:ea typeface="+mn-ea"/>
              <a:cs typeface="+mn-cs"/>
            </a:rPr>
            <a:t>263</a:t>
          </a:r>
          <a:endParaRPr lang="en-US" sz="2400">
            <a:effectLst/>
          </a:endParaRPr>
        </a:p>
        <a:p>
          <a:pPr algn="l"/>
          <a:endParaRPr lang="en-US" sz="1100" b="0" i="0">
            <a:solidFill>
              <a:schemeClr val="accent4"/>
            </a:solidFill>
            <a:effectLst/>
            <a:latin typeface="+mn-lt"/>
            <a:ea typeface="+mn-ea"/>
            <a:cs typeface="+mn-cs"/>
          </a:endParaRPr>
        </a:p>
        <a:p>
          <a:pPr algn="l"/>
          <a:r>
            <a:rPr lang="en-US" sz="1400" b="1" i="0">
              <a:solidFill>
                <a:schemeClr val="dk1"/>
              </a:solidFill>
              <a:effectLst/>
              <a:latin typeface="+mn-lt"/>
              <a:ea typeface="+mn-ea"/>
              <a:cs typeface="+mn-cs"/>
            </a:rPr>
            <a:t>Employees</a:t>
          </a:r>
          <a:r>
            <a:rPr lang="en-US" sz="1400" b="1">
              <a:solidFill>
                <a:schemeClr val="dk1"/>
              </a:solidFill>
              <a:effectLst/>
              <a:latin typeface="+mn-lt"/>
              <a:ea typeface="+mn-ea"/>
              <a:cs typeface="+mn-cs"/>
            </a:rPr>
            <a:t> Exited</a:t>
          </a:r>
          <a:endParaRPr lang="en-US" sz="1400" b="1">
            <a:effectLst/>
          </a:endParaRPr>
        </a:p>
        <a:p>
          <a:pPr algn="l"/>
          <a:r>
            <a:rPr lang="en-US" sz="2400">
              <a:solidFill>
                <a:schemeClr val="dk1"/>
              </a:solidFill>
              <a:effectLst/>
              <a:latin typeface="+mn-lt"/>
              <a:ea typeface="+mn-ea"/>
              <a:cs typeface="+mn-cs"/>
            </a:rPr>
            <a:t> </a:t>
          </a:r>
          <a:r>
            <a:rPr lang="en-US" sz="2400" b="1">
              <a:solidFill>
                <a:schemeClr val="dk1"/>
              </a:solidFill>
              <a:effectLst/>
              <a:latin typeface="+mn-lt"/>
              <a:ea typeface="+mn-ea"/>
              <a:cs typeface="+mn-cs"/>
            </a:rPr>
            <a:t>37</a:t>
          </a:r>
        </a:p>
        <a:p>
          <a:pPr algn="l"/>
          <a:endParaRPr lang="en-US"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Average Salary </a:t>
          </a:r>
        </a:p>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chemeClr val="dk1"/>
              </a:solidFill>
              <a:effectLst/>
              <a:latin typeface="+mn-lt"/>
              <a:ea typeface="+mn-ea"/>
              <a:cs typeface="+mn-cs"/>
            </a:rPr>
            <a:t>₹67.3K</a:t>
          </a: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r>
            <a:rPr lang="en-US" sz="1400" b="1">
              <a:solidFill>
                <a:schemeClr val="dk1"/>
              </a:solidFill>
              <a:effectLst/>
              <a:latin typeface="+mn-lt"/>
              <a:ea typeface="+mn-ea"/>
              <a:cs typeface="+mn-cs"/>
            </a:rPr>
            <a:t>Average</a:t>
          </a:r>
          <a:r>
            <a:rPr lang="en-US" sz="1400" b="1" baseline="0">
              <a:solidFill>
                <a:schemeClr val="dk1"/>
              </a:solidFill>
              <a:effectLst/>
              <a:latin typeface="+mn-lt"/>
              <a:ea typeface="+mn-ea"/>
              <a:cs typeface="+mn-cs"/>
            </a:rPr>
            <a:t> Rating</a:t>
          </a:r>
          <a:r>
            <a:rPr lang="en-US" sz="1400" b="1">
              <a:solidFill>
                <a:schemeClr val="dk1"/>
              </a:solidFill>
              <a:effectLst/>
              <a:latin typeface="+mn-lt"/>
              <a:ea typeface="+mn-ea"/>
              <a:cs typeface="+mn-cs"/>
            </a:rPr>
            <a:t> </a:t>
          </a:r>
          <a:endParaRPr lang="en-US" sz="1400" b="1">
            <a:effectLst/>
          </a:endParaRPr>
        </a:p>
        <a:p>
          <a:pPr algn="l"/>
          <a:r>
            <a:rPr lang="en-US" sz="2400" b="1">
              <a:solidFill>
                <a:schemeClr val="dk1"/>
              </a:solidFill>
              <a:effectLst/>
              <a:latin typeface="+mn-lt"/>
              <a:ea typeface="+mn-ea"/>
              <a:cs typeface="+mn-cs"/>
            </a:rPr>
            <a:t>3.14</a:t>
          </a:r>
        </a:p>
        <a:p>
          <a:pPr algn="l"/>
          <a:endParaRPr lang="en-US">
            <a:effectLst/>
          </a:endParaRPr>
        </a:p>
        <a:p>
          <a:pPr algn="l"/>
          <a:r>
            <a:rPr lang="en-US" sz="1400" b="1" i="0">
              <a:solidFill>
                <a:schemeClr val="dk1"/>
              </a:solidFill>
              <a:effectLst/>
              <a:latin typeface="+mn-lt"/>
              <a:ea typeface="+mn-ea"/>
              <a:cs typeface="+mn-cs"/>
            </a:rPr>
            <a:t>Attrition Rate</a:t>
          </a:r>
          <a:r>
            <a:rPr lang="en-US" sz="1400">
              <a:solidFill>
                <a:schemeClr val="dk1"/>
              </a:solidFill>
              <a:effectLst/>
              <a:latin typeface="+mn-lt"/>
              <a:ea typeface="+mn-ea"/>
              <a:cs typeface="+mn-cs"/>
            </a:rPr>
            <a:t>  </a:t>
          </a:r>
          <a:endParaRPr lang="en-US" sz="1400">
            <a:effectLst/>
          </a:endParaRPr>
        </a:p>
        <a:p>
          <a:pPr algn="l"/>
          <a:r>
            <a:rPr lang="en-US" sz="2400" b="1">
              <a:solidFill>
                <a:schemeClr val="dk1"/>
              </a:solidFill>
              <a:effectLst/>
              <a:latin typeface="+mn-lt"/>
              <a:ea typeface="+mn-ea"/>
              <a:cs typeface="+mn-cs"/>
            </a:rPr>
            <a:t>12</a:t>
          </a:r>
          <a:endParaRPr lang="en-US" sz="2400">
            <a:effectLst/>
          </a:endParaRPr>
        </a:p>
        <a:p>
          <a:endParaRPr lang="en-US" sz="1100"/>
        </a:p>
      </xdr:txBody>
    </xdr:sp>
    <xdr:clientData/>
  </xdr:twoCellAnchor>
  <xdr:twoCellAnchor editAs="oneCell">
    <xdr:from>
      <xdr:col>2</xdr:col>
      <xdr:colOff>333377</xdr:colOff>
      <xdr:row>7</xdr:row>
      <xdr:rowOff>83344</xdr:rowOff>
    </xdr:from>
    <xdr:to>
      <xdr:col>2</xdr:col>
      <xdr:colOff>945662</xdr:colOff>
      <xdr:row>11</xdr:row>
      <xdr:rowOff>47625</xdr:rowOff>
    </xdr:to>
    <xdr:pic>
      <xdr:nvPicPr>
        <xdr:cNvPr id="5" name="Picture 4">
          <a:extLst>
            <a:ext uri="{FF2B5EF4-FFF2-40B4-BE49-F238E27FC236}">
              <a16:creationId xmlns:a16="http://schemas.microsoft.com/office/drawing/2014/main" id="{23113339-D1A1-4C2D-B05A-B74A84F0D604}"/>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547815" y="1416844"/>
          <a:ext cx="612285" cy="726281"/>
        </a:xfrm>
        <a:prstGeom prst="rect">
          <a:avLst/>
        </a:prstGeom>
      </xdr:spPr>
    </xdr:pic>
    <xdr:clientData/>
  </xdr:twoCellAnchor>
  <xdr:twoCellAnchor editAs="oneCell">
    <xdr:from>
      <xdr:col>2</xdr:col>
      <xdr:colOff>440529</xdr:colOff>
      <xdr:row>11</xdr:row>
      <xdr:rowOff>178594</xdr:rowOff>
    </xdr:from>
    <xdr:to>
      <xdr:col>2</xdr:col>
      <xdr:colOff>896248</xdr:colOff>
      <xdr:row>14</xdr:row>
      <xdr:rowOff>96429</xdr:rowOff>
    </xdr:to>
    <xdr:pic>
      <xdr:nvPicPr>
        <xdr:cNvPr id="6" name="Picture 5">
          <a:extLst>
            <a:ext uri="{FF2B5EF4-FFF2-40B4-BE49-F238E27FC236}">
              <a16:creationId xmlns:a16="http://schemas.microsoft.com/office/drawing/2014/main" id="{58CA28F9-7C8F-43A8-96C6-0DCBA9E956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54967" y="2274094"/>
          <a:ext cx="455719" cy="489335"/>
        </a:xfrm>
        <a:prstGeom prst="rect">
          <a:avLst/>
        </a:prstGeom>
      </xdr:spPr>
    </xdr:pic>
    <xdr:clientData/>
  </xdr:twoCellAnchor>
  <xdr:twoCellAnchor editAs="oneCell">
    <xdr:from>
      <xdr:col>2</xdr:col>
      <xdr:colOff>452438</xdr:colOff>
      <xdr:row>16</xdr:row>
      <xdr:rowOff>35718</xdr:rowOff>
    </xdr:from>
    <xdr:to>
      <xdr:col>2</xdr:col>
      <xdr:colOff>838667</xdr:colOff>
      <xdr:row>18</xdr:row>
      <xdr:rowOff>96411</xdr:rowOff>
    </xdr:to>
    <xdr:pic>
      <xdr:nvPicPr>
        <xdr:cNvPr id="7" name="Picture 6">
          <a:extLst>
            <a:ext uri="{FF2B5EF4-FFF2-40B4-BE49-F238E27FC236}">
              <a16:creationId xmlns:a16="http://schemas.microsoft.com/office/drawing/2014/main" id="{0893E821-C608-4584-A481-E5B08E3257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66876" y="3083718"/>
          <a:ext cx="386229" cy="441693"/>
        </a:xfrm>
        <a:prstGeom prst="rect">
          <a:avLst/>
        </a:prstGeom>
      </xdr:spPr>
    </xdr:pic>
    <xdr:clientData/>
  </xdr:twoCellAnchor>
  <xdr:twoCellAnchor editAs="oneCell">
    <xdr:from>
      <xdr:col>2</xdr:col>
      <xdr:colOff>357188</xdr:colOff>
      <xdr:row>20</xdr:row>
      <xdr:rowOff>11907</xdr:rowOff>
    </xdr:from>
    <xdr:to>
      <xdr:col>2</xdr:col>
      <xdr:colOff>892968</xdr:colOff>
      <xdr:row>22</xdr:row>
      <xdr:rowOff>103551</xdr:rowOff>
    </xdr:to>
    <xdr:pic>
      <xdr:nvPicPr>
        <xdr:cNvPr id="8" name="Picture 7">
          <a:extLst>
            <a:ext uri="{FF2B5EF4-FFF2-40B4-BE49-F238E27FC236}">
              <a16:creationId xmlns:a16="http://schemas.microsoft.com/office/drawing/2014/main" id="{A50A6DEC-CCCA-4998-B571-7112D4D571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71626" y="3821907"/>
          <a:ext cx="535780" cy="472644"/>
        </a:xfrm>
        <a:prstGeom prst="rect">
          <a:avLst/>
        </a:prstGeom>
      </xdr:spPr>
    </xdr:pic>
    <xdr:clientData/>
  </xdr:twoCellAnchor>
  <xdr:twoCellAnchor editAs="oneCell">
    <xdr:from>
      <xdr:col>2</xdr:col>
      <xdr:colOff>345278</xdr:colOff>
      <xdr:row>23</xdr:row>
      <xdr:rowOff>178593</xdr:rowOff>
    </xdr:from>
    <xdr:to>
      <xdr:col>2</xdr:col>
      <xdr:colOff>892968</xdr:colOff>
      <xdr:row>26</xdr:row>
      <xdr:rowOff>85148</xdr:rowOff>
    </xdr:to>
    <xdr:pic>
      <xdr:nvPicPr>
        <xdr:cNvPr id="9" name="Picture 8">
          <a:extLst>
            <a:ext uri="{FF2B5EF4-FFF2-40B4-BE49-F238E27FC236}">
              <a16:creationId xmlns:a16="http://schemas.microsoft.com/office/drawing/2014/main" id="{854262CE-E6AD-4C49-AF8F-BFBB66141BF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59716" y="4560093"/>
          <a:ext cx="547690" cy="478055"/>
        </a:xfrm>
        <a:prstGeom prst="rect">
          <a:avLst/>
        </a:prstGeom>
      </xdr:spPr>
    </xdr:pic>
    <xdr:clientData/>
  </xdr:twoCellAnchor>
  <xdr:twoCellAnchor editAs="oneCell">
    <xdr:from>
      <xdr:col>2</xdr:col>
      <xdr:colOff>357186</xdr:colOff>
      <xdr:row>27</xdr:row>
      <xdr:rowOff>158486</xdr:rowOff>
    </xdr:from>
    <xdr:to>
      <xdr:col>2</xdr:col>
      <xdr:colOff>881062</xdr:colOff>
      <xdr:row>30</xdr:row>
      <xdr:rowOff>120867</xdr:rowOff>
    </xdr:to>
    <xdr:pic>
      <xdr:nvPicPr>
        <xdr:cNvPr id="10" name="Picture 9">
          <a:extLst>
            <a:ext uri="{FF2B5EF4-FFF2-40B4-BE49-F238E27FC236}">
              <a16:creationId xmlns:a16="http://schemas.microsoft.com/office/drawing/2014/main" id="{EDAC5295-E4EB-4471-8A59-47EDA5E7658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71624" y="5301986"/>
          <a:ext cx="523876" cy="533881"/>
        </a:xfrm>
        <a:prstGeom prst="rect">
          <a:avLst/>
        </a:prstGeom>
      </xdr:spPr>
    </xdr:pic>
    <xdr:clientData/>
  </xdr:twoCellAnchor>
  <xdr:twoCellAnchor>
    <xdr:from>
      <xdr:col>3</xdr:col>
      <xdr:colOff>59529</xdr:colOff>
      <xdr:row>0</xdr:row>
      <xdr:rowOff>0</xdr:rowOff>
    </xdr:from>
    <xdr:to>
      <xdr:col>22</xdr:col>
      <xdr:colOff>23812</xdr:colOff>
      <xdr:row>6</xdr:row>
      <xdr:rowOff>0</xdr:rowOff>
    </xdr:to>
    <xdr:graphicFrame macro="">
      <xdr:nvGraphicFramePr>
        <xdr:cNvPr id="11" name="Chart 10">
          <a:extLst>
            <a:ext uri="{FF2B5EF4-FFF2-40B4-BE49-F238E27FC236}">
              <a16:creationId xmlns:a16="http://schemas.microsoft.com/office/drawing/2014/main" id="{BC36EF55-F299-48EB-BD8E-7A62C835E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571499</xdr:colOff>
      <xdr:row>16</xdr:row>
      <xdr:rowOff>1</xdr:rowOff>
    </xdr:from>
    <xdr:to>
      <xdr:col>22</xdr:col>
      <xdr:colOff>35718</xdr:colOff>
      <xdr:row>24</xdr:row>
      <xdr:rowOff>154781</xdr:rowOff>
    </xdr:to>
    <xdr:graphicFrame macro="">
      <xdr:nvGraphicFramePr>
        <xdr:cNvPr id="13" name="Chart 12">
          <a:extLst>
            <a:ext uri="{FF2B5EF4-FFF2-40B4-BE49-F238E27FC236}">
              <a16:creationId xmlns:a16="http://schemas.microsoft.com/office/drawing/2014/main" id="{1A985D1B-A4FF-4C5D-A650-4F8E8E7A6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71439</xdr:colOff>
      <xdr:row>25</xdr:row>
      <xdr:rowOff>83344</xdr:rowOff>
    </xdr:from>
    <xdr:to>
      <xdr:col>11</xdr:col>
      <xdr:colOff>547687</xdr:colOff>
      <xdr:row>34</xdr:row>
      <xdr:rowOff>107155</xdr:rowOff>
    </xdr:to>
    <xdr:graphicFrame macro="">
      <xdr:nvGraphicFramePr>
        <xdr:cNvPr id="14" name="Chart 13">
          <a:extLst>
            <a:ext uri="{FF2B5EF4-FFF2-40B4-BE49-F238E27FC236}">
              <a16:creationId xmlns:a16="http://schemas.microsoft.com/office/drawing/2014/main" id="{C86722A3-E8A8-43BF-AA2C-BDFB9CB76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321467</xdr:colOff>
      <xdr:row>24</xdr:row>
      <xdr:rowOff>178595</xdr:rowOff>
    </xdr:from>
    <xdr:to>
      <xdr:col>22</xdr:col>
      <xdr:colOff>47624</xdr:colOff>
      <xdr:row>34</xdr:row>
      <xdr:rowOff>83345</xdr:rowOff>
    </xdr:to>
    <xdr:graphicFrame macro="">
      <xdr:nvGraphicFramePr>
        <xdr:cNvPr id="15" name="Chart 14">
          <a:extLst>
            <a:ext uri="{FF2B5EF4-FFF2-40B4-BE49-F238E27FC236}">
              <a16:creationId xmlns:a16="http://schemas.microsoft.com/office/drawing/2014/main" id="{7753FC69-8A87-4F08-A331-35F5DD99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71437</xdr:colOff>
      <xdr:row>6</xdr:row>
      <xdr:rowOff>35719</xdr:rowOff>
    </xdr:from>
    <xdr:to>
      <xdr:col>11</xdr:col>
      <xdr:colOff>535781</xdr:colOff>
      <xdr:row>25</xdr:row>
      <xdr:rowOff>59531</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AF8D8A7A-7992-4324-B97A-62DF67231B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2238375" y="1178719"/>
              <a:ext cx="5322094" cy="36433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583407</xdr:colOff>
      <xdr:row>24</xdr:row>
      <xdr:rowOff>178594</xdr:rowOff>
    </xdr:from>
    <xdr:to>
      <xdr:col>17</xdr:col>
      <xdr:colOff>297657</xdr:colOff>
      <xdr:row>34</xdr:row>
      <xdr:rowOff>59531</xdr:rowOff>
    </xdr:to>
    <xdr:graphicFrame macro="">
      <xdr:nvGraphicFramePr>
        <xdr:cNvPr id="18" name="Chart 17">
          <a:extLst>
            <a:ext uri="{FF2B5EF4-FFF2-40B4-BE49-F238E27FC236}">
              <a16:creationId xmlns:a16="http://schemas.microsoft.com/office/drawing/2014/main" id="{55525D38-D638-472E-BF21-0C7D1CEAE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571498</xdr:colOff>
      <xdr:row>6</xdr:row>
      <xdr:rowOff>47624</xdr:rowOff>
    </xdr:from>
    <xdr:to>
      <xdr:col>22</xdr:col>
      <xdr:colOff>23812</xdr:colOff>
      <xdr:row>15</xdr:row>
      <xdr:rowOff>178593</xdr:rowOff>
    </xdr:to>
    <xdr:graphicFrame macro="">
      <xdr:nvGraphicFramePr>
        <xdr:cNvPr id="19" name="Chart 18">
          <a:extLst>
            <a:ext uri="{FF2B5EF4-FFF2-40B4-BE49-F238E27FC236}">
              <a16:creationId xmlns:a16="http://schemas.microsoft.com/office/drawing/2014/main" id="{0A38F889-1C1D-4341-8883-1FBB7586C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59527</xdr:colOff>
      <xdr:row>3</xdr:row>
      <xdr:rowOff>95250</xdr:rowOff>
    </xdr:from>
    <xdr:to>
      <xdr:col>25</xdr:col>
      <xdr:colOff>214312</xdr:colOff>
      <xdr:row>14</xdr:row>
      <xdr:rowOff>142875</xdr:rowOff>
    </xdr:to>
    <mc:AlternateContent xmlns:mc="http://schemas.openxmlformats.org/markup-compatibility/2006">
      <mc:Choice xmlns:a14="http://schemas.microsoft.com/office/drawing/2010/main" Requires="a14">
        <xdr:graphicFrame macro="">
          <xdr:nvGraphicFramePr>
            <xdr:cNvPr id="20" name="Department 2">
              <a:extLst>
                <a:ext uri="{FF2B5EF4-FFF2-40B4-BE49-F238E27FC236}">
                  <a16:creationId xmlns:a16="http://schemas.microsoft.com/office/drawing/2014/main" id="{84916373-7AC4-4B10-8E9B-2F010464242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3763621" y="666750"/>
              <a:ext cx="1976441"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59527</xdr:colOff>
      <xdr:row>14</xdr:row>
      <xdr:rowOff>166687</xdr:rowOff>
    </xdr:from>
    <xdr:to>
      <xdr:col>25</xdr:col>
      <xdr:colOff>214271</xdr:colOff>
      <xdr:row>24</xdr:row>
      <xdr:rowOff>48399</xdr:rowOff>
    </xdr:to>
    <mc:AlternateContent xmlns:mc="http://schemas.openxmlformats.org/markup-compatibility/2006">
      <mc:Choice xmlns:a14="http://schemas.microsoft.com/office/drawing/2010/main" Requires="a14">
        <xdr:graphicFrame macro="">
          <xdr:nvGraphicFramePr>
            <xdr:cNvPr id="21" name="Job_Role 2">
              <a:extLst>
                <a:ext uri="{FF2B5EF4-FFF2-40B4-BE49-F238E27FC236}">
                  <a16:creationId xmlns:a16="http://schemas.microsoft.com/office/drawing/2014/main" id="{F1EA44ED-F659-483A-AC42-90D2D3887BE1}"/>
                </a:ext>
              </a:extLst>
            </xdr:cNvPr>
            <xdr:cNvGraphicFramePr/>
          </xdr:nvGraphicFramePr>
          <xdr:xfrm>
            <a:off x="0" y="0"/>
            <a:ext cx="0" cy="0"/>
          </xdr:xfrm>
          <a:graphic>
            <a:graphicData uri="http://schemas.microsoft.com/office/drawing/2010/slicer">
              <sle:slicer xmlns:sle="http://schemas.microsoft.com/office/drawing/2010/slicer" name="Job_Role 2"/>
            </a:graphicData>
          </a:graphic>
        </xdr:graphicFrame>
      </mc:Choice>
      <mc:Fallback>
        <xdr:sp macro="" textlink="">
          <xdr:nvSpPr>
            <xdr:cNvPr id="0" name=""/>
            <xdr:cNvSpPr>
              <a:spLocks noTextEdit="1"/>
            </xdr:cNvSpPr>
          </xdr:nvSpPr>
          <xdr:spPr>
            <a:xfrm>
              <a:off x="13763621" y="2833687"/>
              <a:ext cx="1976400" cy="1786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59527</xdr:colOff>
      <xdr:row>24</xdr:row>
      <xdr:rowOff>71436</xdr:rowOff>
    </xdr:from>
    <xdr:to>
      <xdr:col>25</xdr:col>
      <xdr:colOff>214271</xdr:colOff>
      <xdr:row>28</xdr:row>
      <xdr:rowOff>178593</xdr:rowOff>
    </xdr:to>
    <mc:AlternateContent xmlns:mc="http://schemas.openxmlformats.org/markup-compatibility/2006">
      <mc:Choice xmlns:a14="http://schemas.microsoft.com/office/drawing/2010/main" Requires="a14">
        <xdr:graphicFrame macro="">
          <xdr:nvGraphicFramePr>
            <xdr:cNvPr id="22" name="Status 2">
              <a:extLst>
                <a:ext uri="{FF2B5EF4-FFF2-40B4-BE49-F238E27FC236}">
                  <a16:creationId xmlns:a16="http://schemas.microsoft.com/office/drawing/2014/main" id="{F5660730-C53C-4730-A562-648AFF7AE0EF}"/>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dr:sp macro="" textlink="">
          <xdr:nvSpPr>
            <xdr:cNvPr id="0" name=""/>
            <xdr:cNvSpPr>
              <a:spLocks noTextEdit="1"/>
            </xdr:cNvSpPr>
          </xdr:nvSpPr>
          <xdr:spPr>
            <a:xfrm>
              <a:off x="13763621" y="4643436"/>
              <a:ext cx="1976400" cy="869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59527</xdr:colOff>
      <xdr:row>29</xdr:row>
      <xdr:rowOff>11904</xdr:rowOff>
    </xdr:from>
    <xdr:to>
      <xdr:col>25</xdr:col>
      <xdr:colOff>214271</xdr:colOff>
      <xdr:row>34</xdr:row>
      <xdr:rowOff>95249</xdr:rowOff>
    </xdr:to>
    <mc:AlternateContent xmlns:mc="http://schemas.openxmlformats.org/markup-compatibility/2006">
      <mc:Choice xmlns:a14="http://schemas.microsoft.com/office/drawing/2010/main" Requires="a14">
        <xdr:graphicFrame macro="">
          <xdr:nvGraphicFramePr>
            <xdr:cNvPr id="23" name="Gender 2">
              <a:extLst>
                <a:ext uri="{FF2B5EF4-FFF2-40B4-BE49-F238E27FC236}">
                  <a16:creationId xmlns:a16="http://schemas.microsoft.com/office/drawing/2014/main" id="{A96EBDBD-724F-48FE-8DCC-32ABBFEC0B9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3763621" y="5536404"/>
              <a:ext cx="1976400" cy="1035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35718</xdr:colOff>
      <xdr:row>0</xdr:row>
      <xdr:rowOff>47625</xdr:rowOff>
    </xdr:from>
    <xdr:to>
      <xdr:col>25</xdr:col>
      <xdr:colOff>190500</xdr:colOff>
      <xdr:row>3</xdr:row>
      <xdr:rowOff>47625</xdr:rowOff>
    </xdr:to>
    <xdr:sp macro="" textlink="">
      <xdr:nvSpPr>
        <xdr:cNvPr id="24" name="TextBox 23">
          <a:extLst>
            <a:ext uri="{FF2B5EF4-FFF2-40B4-BE49-F238E27FC236}">
              <a16:creationId xmlns:a16="http://schemas.microsoft.com/office/drawing/2014/main" id="{0FC21835-40E8-6810-7064-17FB09D31B01}"/>
            </a:ext>
          </a:extLst>
        </xdr:cNvPr>
        <xdr:cNvSpPr txBox="1"/>
      </xdr:nvSpPr>
      <xdr:spPr>
        <a:xfrm>
          <a:off x="13739812" y="47625"/>
          <a:ext cx="1976438" cy="571500"/>
        </a:xfrm>
        <a:prstGeom prst="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lstStyle/>
        <a:p>
          <a:r>
            <a:rPr lang="en-US" sz="2800" b="1">
              <a:latin typeface="Segoe UI" panose="020B0502040204020203" pitchFamily="34" charset="0"/>
              <a:cs typeface="Segoe UI" panose="020B0502040204020203" pitchFamily="34" charset="0"/>
            </a:rPr>
            <a:t>Filters 🔽</a:t>
          </a:r>
        </a:p>
      </xdr:txBody>
    </xdr:sp>
    <xdr:clientData/>
  </xdr:twoCellAnchor>
  <xdr:twoCellAnchor>
    <xdr:from>
      <xdr:col>0</xdr:col>
      <xdr:colOff>59531</xdr:colOff>
      <xdr:row>0</xdr:row>
      <xdr:rowOff>0</xdr:rowOff>
    </xdr:from>
    <xdr:to>
      <xdr:col>2</xdr:col>
      <xdr:colOff>928687</xdr:colOff>
      <xdr:row>7</xdr:row>
      <xdr:rowOff>71437</xdr:rowOff>
    </xdr:to>
    <xdr:sp macro="" textlink="">
      <xdr:nvSpPr>
        <xdr:cNvPr id="26" name="TextBox 25">
          <a:extLst>
            <a:ext uri="{FF2B5EF4-FFF2-40B4-BE49-F238E27FC236}">
              <a16:creationId xmlns:a16="http://schemas.microsoft.com/office/drawing/2014/main" id="{68457A8D-F36C-E6EF-BE91-3F86C210A702}"/>
            </a:ext>
          </a:extLst>
        </xdr:cNvPr>
        <xdr:cNvSpPr txBox="1"/>
      </xdr:nvSpPr>
      <xdr:spPr>
        <a:xfrm>
          <a:off x="59531" y="0"/>
          <a:ext cx="2083594" cy="1404937"/>
        </a:xfrm>
        <a:prstGeom prst="rect">
          <a:avLst/>
        </a:prstGeom>
        <a:noFill/>
        <a:ln w="9525" cmpd="sng">
          <a:no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u="none">
              <a:solidFill>
                <a:schemeClr val="bg1"/>
              </a:solidFill>
              <a:latin typeface="Segoe UI Semibold" panose="020B0702040204020203" pitchFamily="34" charset="0"/>
              <a:cs typeface="Segoe UI Semibold" panose="020B0702040204020203" pitchFamily="34" charset="0"/>
            </a:rPr>
            <a:t>HR ANALYTICS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3.700299999997" createdVersion="8" refreshedVersion="8" minRefreshableVersion="3" recordCount="300" xr:uid="{ED773154-3837-449A-A7D8-C2CA7AF87A48}">
  <cacheSource type="worksheet">
    <worksheetSource name="HR_Data"/>
  </cacheSource>
  <cacheFields count="28">
    <cacheField name="Employee_ID" numFmtId="0">
      <sharedItems containsSemiMixedTypes="0" containsString="0" containsNumber="1" containsInteger="1" minValue="10001" maxValue="10300" count="3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sharedItems>
    </cacheField>
    <cacheField name="Employee_Name" numFmtId="0">
      <sharedItems/>
    </cacheField>
    <cacheField name="Gender" numFmtId="0">
      <sharedItems count="2">
        <s v="Male"/>
        <s v="Female"/>
      </sharedItems>
    </cacheField>
    <cacheField name="Age" numFmtId="0">
      <sharedItems containsSemiMixedTypes="0" containsString="0" containsNumber="1" containsInteger="1" minValue="21" maxValue="60"/>
    </cacheField>
    <cacheField name="Department" numFmtId="0">
      <sharedItems count="7">
        <s v="R&amp;D"/>
        <s v="Operations"/>
        <s v="Sales"/>
        <s v="Marketing"/>
        <s v="IT"/>
        <s v="Finance"/>
        <s v="HR"/>
      </sharedItems>
    </cacheField>
    <cacheField name="Job_Role" numFmtId="0">
      <sharedItems count="28">
        <s v="Laboratory Technician"/>
        <s v="Operations Analyst"/>
        <s v="Sales Representative"/>
        <s v="Brand Specialist"/>
        <s v="Logistics Coordinator"/>
        <s v="Software Engineer"/>
        <s v="IT Support"/>
        <s v="Account Manager"/>
        <s v="Accountant"/>
        <s v="Finance Manager"/>
        <s v="Operations Manager"/>
        <s v="Research Director"/>
        <s v="Supply Chain Specialist"/>
        <s v="Financial Analyst"/>
        <s v="Auditor"/>
        <s v="HR Business Partner"/>
        <s v="Research Scientist"/>
        <s v="HR Executive"/>
        <s v="Marketing Manager"/>
        <s v="R&amp;D Engineer"/>
        <s v="Recruiter"/>
        <s v="Systems Analyst"/>
        <s v="Marketing Executive"/>
        <s v="Sales Manager"/>
        <s v="HR Manager"/>
        <s v="Sales Executive"/>
        <s v="IT Manager"/>
        <s v="Content Strategist"/>
      </sharedItems>
    </cacheField>
    <cacheField name="Education" numFmtId="0">
      <sharedItems count="5">
        <s v="Bachelors"/>
        <s v="Masters"/>
        <s v="PhD"/>
        <s v="High School"/>
        <s v="Diploma"/>
      </sharedItems>
    </cacheField>
    <cacheField name="Marital_Status" numFmtId="0">
      <sharedItems count="3">
        <s v="Single"/>
        <s v="Divorced"/>
        <s v="Married"/>
      </sharedItems>
    </cacheField>
    <cacheField name="Date_of_Joining" numFmtId="164">
      <sharedItems containsSemiMixedTypes="0" containsNonDate="0" containsDate="1" containsString="0" minDate="2010-01-18T00:00:00" maxDate="2024-11-27T00:00:00" count="291">
        <d v="2022-03-26T00:00:00"/>
        <d v="2019-06-25T00:00:00"/>
        <d v="2018-02-10T00:00:00"/>
        <d v="2024-07-14T00:00:00"/>
        <d v="2014-09-25T00:00:00"/>
        <d v="2011-01-21T00:00:00"/>
        <d v="2012-07-02T00:00:00"/>
        <d v="2010-06-09T00:00:00"/>
        <d v="2019-06-29T00:00:00"/>
        <d v="2024-02-26T00:00:00"/>
        <d v="2020-06-22T00:00:00"/>
        <d v="2019-12-10T00:00:00"/>
        <d v="2016-05-25T00:00:00"/>
        <d v="2011-10-19T00:00:00"/>
        <d v="2024-06-23T00:00:00"/>
        <d v="2022-03-09T00:00:00"/>
        <d v="2015-12-03T00:00:00"/>
        <d v="2013-05-06T00:00:00"/>
        <d v="2013-06-20T00:00:00"/>
        <d v="2017-11-04T00:00:00"/>
        <d v="2019-09-30T00:00:00"/>
        <d v="2012-10-17T00:00:00"/>
        <d v="2019-08-23T00:00:00"/>
        <d v="2013-04-22T00:00:00"/>
        <d v="2021-08-14T00:00:00"/>
        <d v="2020-08-24T00:00:00"/>
        <d v="2014-10-19T00:00:00"/>
        <d v="2022-01-27T00:00:00"/>
        <d v="2022-08-29T00:00:00"/>
        <d v="2022-02-05T00:00:00"/>
        <d v="2023-08-04T00:00:00"/>
        <d v="2012-09-18T00:00:00"/>
        <d v="2021-09-14T00:00:00"/>
        <d v="2018-07-02T00:00:00"/>
        <d v="2021-01-03T00:00:00"/>
        <d v="2014-04-27T00:00:00"/>
        <d v="2012-11-02T00:00:00"/>
        <d v="2011-03-16T00:00:00"/>
        <d v="2011-05-09T00:00:00"/>
        <d v="2011-08-07T00:00:00"/>
        <d v="2016-10-27T00:00:00"/>
        <d v="2016-01-17T00:00:00"/>
        <d v="2019-03-27T00:00:00"/>
        <d v="2021-03-07T00:00:00"/>
        <d v="2020-05-08T00:00:00"/>
        <d v="2017-08-16T00:00:00"/>
        <d v="2015-05-11T00:00:00"/>
        <d v="2012-03-27T00:00:00"/>
        <d v="2022-02-19T00:00:00"/>
        <d v="2019-08-30T00:00:00"/>
        <d v="2016-06-14T00:00:00"/>
        <d v="2016-08-15T00:00:00"/>
        <d v="2024-06-30T00:00:00"/>
        <d v="2012-08-01T00:00:00"/>
        <d v="2020-07-29T00:00:00"/>
        <d v="2022-02-12T00:00:00"/>
        <d v="2014-04-04T00:00:00"/>
        <d v="2023-05-15T00:00:00"/>
        <d v="2012-07-20T00:00:00"/>
        <d v="2011-08-26T00:00:00"/>
        <d v="2019-04-13T00:00:00"/>
        <d v="2022-08-06T00:00:00"/>
        <d v="2022-11-17T00:00:00"/>
        <d v="2011-07-25T00:00:00"/>
        <d v="2019-12-09T00:00:00"/>
        <d v="2014-09-27T00:00:00"/>
        <d v="2017-01-08T00:00:00"/>
        <d v="2011-10-07T00:00:00"/>
        <d v="2013-06-06T00:00:00"/>
        <d v="2016-02-29T00:00:00"/>
        <d v="2010-12-03T00:00:00"/>
        <d v="2021-10-03T00:00:00"/>
        <d v="2023-07-09T00:00:00"/>
        <d v="2018-02-18T00:00:00"/>
        <d v="2024-01-05T00:00:00"/>
        <d v="2018-07-26T00:00:00"/>
        <d v="2019-10-24T00:00:00"/>
        <d v="2010-11-10T00:00:00"/>
        <d v="2019-06-02T00:00:00"/>
        <d v="2011-07-09T00:00:00"/>
        <d v="2012-04-29T00:00:00"/>
        <d v="2010-12-10T00:00:00"/>
        <d v="2017-08-09T00:00:00"/>
        <d v="2013-09-27T00:00:00"/>
        <d v="2019-10-30T00:00:00"/>
        <d v="2016-04-02T00:00:00"/>
        <d v="2019-12-26T00:00:00"/>
        <d v="2021-01-30T00:00:00"/>
        <d v="2021-08-09T00:00:00"/>
        <d v="2014-05-28T00:00:00"/>
        <d v="2015-12-09T00:00:00"/>
        <d v="2020-11-10T00:00:00"/>
        <d v="2023-10-21T00:00:00"/>
        <d v="2023-01-31T00:00:00"/>
        <d v="2017-06-21T00:00:00"/>
        <d v="2012-06-16T00:00:00"/>
        <d v="2015-06-08T00:00:00"/>
        <d v="2020-09-23T00:00:00"/>
        <d v="2016-06-25T00:00:00"/>
        <d v="2024-09-17T00:00:00"/>
        <d v="2013-01-31T00:00:00"/>
        <d v="2019-05-17T00:00:00"/>
        <d v="2021-04-23T00:00:00"/>
        <d v="2018-12-28T00:00:00"/>
        <d v="2020-06-09T00:00:00"/>
        <d v="2023-05-13T00:00:00"/>
        <d v="2023-01-30T00:00:00"/>
        <d v="2011-08-22T00:00:00"/>
        <d v="2024-11-04T00:00:00"/>
        <d v="2013-06-24T00:00:00"/>
        <d v="2022-02-08T00:00:00"/>
        <d v="2013-12-05T00:00:00"/>
        <d v="2022-08-13T00:00:00"/>
        <d v="2023-03-07T00:00:00"/>
        <d v="2020-06-16T00:00:00"/>
        <d v="2015-11-07T00:00:00"/>
        <d v="2017-11-25T00:00:00"/>
        <d v="2011-05-11T00:00:00"/>
        <d v="2021-10-05T00:00:00"/>
        <d v="2018-06-17T00:00:00"/>
        <d v="2016-04-15T00:00:00"/>
        <d v="2017-06-10T00:00:00"/>
        <d v="2022-05-28T00:00:00"/>
        <d v="2019-12-23T00:00:00"/>
        <d v="2022-07-20T00:00:00"/>
        <d v="2024-01-08T00:00:00"/>
        <d v="2018-12-07T00:00:00"/>
        <d v="2011-07-21T00:00:00"/>
        <d v="2022-01-16T00:00:00"/>
        <d v="2021-08-20T00:00:00"/>
        <d v="2021-09-08T00:00:00"/>
        <d v="2022-07-23T00:00:00"/>
        <d v="2014-03-12T00:00:00"/>
        <d v="2012-08-23T00:00:00"/>
        <d v="2023-11-23T00:00:00"/>
        <d v="2016-07-20T00:00:00"/>
        <d v="2012-04-18T00:00:00"/>
        <d v="2014-08-20T00:00:00"/>
        <d v="2012-12-23T00:00:00"/>
        <d v="2017-05-05T00:00:00"/>
        <d v="2017-09-16T00:00:00"/>
        <d v="2024-11-26T00:00:00"/>
        <d v="2012-12-18T00:00:00"/>
        <d v="2014-10-12T00:00:00"/>
        <d v="2023-06-17T00:00:00"/>
        <d v="2021-11-06T00:00:00"/>
        <d v="2018-12-05T00:00:00"/>
        <d v="2023-02-26T00:00:00"/>
        <d v="2010-04-03T00:00:00"/>
        <d v="2024-01-28T00:00:00"/>
        <d v="2018-03-01T00:00:00"/>
        <d v="2018-12-29T00:00:00"/>
        <d v="2015-07-02T00:00:00"/>
        <d v="2021-08-28T00:00:00"/>
        <d v="2017-04-26T00:00:00"/>
        <d v="2013-07-15T00:00:00"/>
        <d v="2022-05-04T00:00:00"/>
        <d v="2014-06-08T00:00:00"/>
        <d v="2016-03-02T00:00:00"/>
        <d v="2018-01-20T00:00:00"/>
        <d v="2013-07-31T00:00:00"/>
        <d v="2021-01-15T00:00:00"/>
        <d v="2023-02-27T00:00:00"/>
        <d v="2022-08-09T00:00:00"/>
        <d v="2014-12-15T00:00:00"/>
        <d v="2015-10-04T00:00:00"/>
        <d v="2016-08-12T00:00:00"/>
        <d v="2017-06-05T00:00:00"/>
        <d v="2018-04-15T00:00:00"/>
        <d v="2022-01-04T00:00:00"/>
        <d v="2012-10-30T00:00:00"/>
        <d v="2022-10-31T00:00:00"/>
        <d v="2012-03-15T00:00:00"/>
        <d v="2013-07-26T00:00:00"/>
        <d v="2018-11-26T00:00:00"/>
        <d v="2022-11-01T00:00:00"/>
        <d v="2024-06-01T00:00:00"/>
        <d v="2020-10-21T00:00:00"/>
        <d v="2015-10-27T00:00:00"/>
        <d v="2012-11-14T00:00:00"/>
        <d v="2023-02-02T00:00:00"/>
        <d v="2011-10-25T00:00:00"/>
        <d v="2018-08-07T00:00:00"/>
        <d v="2016-09-08T00:00:00"/>
        <d v="2023-03-24T00:00:00"/>
        <d v="2013-06-08T00:00:00"/>
        <d v="2021-09-25T00:00:00"/>
        <d v="2021-06-23T00:00:00"/>
        <d v="2024-11-17T00:00:00"/>
        <d v="2012-07-15T00:00:00"/>
        <d v="2019-11-20T00:00:00"/>
        <d v="2018-08-19T00:00:00"/>
        <d v="2019-01-17T00:00:00"/>
        <d v="2024-04-19T00:00:00"/>
        <d v="2010-01-18T00:00:00"/>
        <d v="2014-11-02T00:00:00"/>
        <d v="2023-02-15T00:00:00"/>
        <d v="2020-02-27T00:00:00"/>
        <d v="2024-04-14T00:00:00"/>
        <d v="2014-06-26T00:00:00"/>
        <d v="2018-07-23T00:00:00"/>
        <d v="2011-09-03T00:00:00"/>
        <d v="2011-02-21T00:00:00"/>
        <d v="2014-10-14T00:00:00"/>
        <d v="2018-07-22T00:00:00"/>
        <d v="2021-12-17T00:00:00"/>
        <d v="2015-08-26T00:00:00"/>
        <d v="2012-05-19T00:00:00"/>
        <d v="2022-06-01T00:00:00"/>
        <d v="2015-09-02T00:00:00"/>
        <d v="2011-07-26T00:00:00"/>
        <d v="2017-06-09T00:00:00"/>
        <d v="2024-03-02T00:00:00"/>
        <d v="2021-06-13T00:00:00"/>
        <d v="2018-03-12T00:00:00"/>
        <d v="2024-06-07T00:00:00"/>
        <d v="2023-04-15T00:00:00"/>
        <d v="2014-12-03T00:00:00"/>
        <d v="2019-06-01T00:00:00"/>
        <d v="2015-02-23T00:00:00"/>
        <d v="2010-02-28T00:00:00"/>
        <d v="2022-05-20T00:00:00"/>
        <d v="2022-05-08T00:00:00"/>
        <d v="2011-04-16T00:00:00"/>
        <d v="2016-03-10T00:00:00"/>
        <d v="2022-11-23T00:00:00"/>
        <d v="2020-05-02T00:00:00"/>
        <d v="2011-09-15T00:00:00"/>
        <d v="2013-07-01T00:00:00"/>
        <d v="2012-11-16T00:00:00"/>
        <d v="2017-04-19T00:00:00"/>
        <d v="2022-12-01T00:00:00"/>
        <d v="2015-08-18T00:00:00"/>
        <d v="2012-09-20T00:00:00"/>
        <d v="2013-10-04T00:00:00"/>
        <d v="2023-03-02T00:00:00"/>
        <d v="2021-10-02T00:00:00"/>
        <d v="2022-02-15T00:00:00"/>
        <d v="2019-03-31T00:00:00"/>
        <d v="2014-02-03T00:00:00"/>
        <d v="2012-01-09T00:00:00"/>
        <d v="2022-04-30T00:00:00"/>
        <d v="2023-01-13T00:00:00"/>
        <d v="2017-02-07T00:00:00"/>
        <d v="2020-07-04T00:00:00"/>
        <d v="2017-03-12T00:00:00"/>
        <d v="2014-01-03T00:00:00"/>
        <d v="2020-07-01T00:00:00"/>
        <d v="2014-05-02T00:00:00"/>
        <d v="2013-07-19T00:00:00"/>
        <d v="2020-01-14T00:00:00"/>
        <d v="2017-12-23T00:00:00"/>
        <d v="2010-11-03T00:00:00"/>
        <d v="2013-05-10T00:00:00"/>
        <d v="2011-11-28T00:00:00"/>
        <d v="2012-01-04T00:00:00"/>
        <d v="2014-10-02T00:00:00"/>
        <d v="2011-06-30T00:00:00"/>
        <d v="2020-04-09T00:00:00"/>
        <d v="2010-08-30T00:00:00"/>
        <d v="2017-05-21T00:00:00"/>
        <d v="2012-08-27T00:00:00"/>
        <d v="2015-03-07T00:00:00"/>
        <d v="2010-05-03T00:00:00"/>
        <d v="2017-01-07T00:00:00"/>
        <d v="2022-04-04T00:00:00"/>
        <d v="2021-10-01T00:00:00"/>
        <d v="2020-01-04T00:00:00"/>
        <d v="2011-10-13T00:00:00"/>
        <d v="2012-06-11T00:00:00"/>
        <d v="2011-06-16T00:00:00"/>
        <d v="2015-10-29T00:00:00"/>
        <d v="2014-08-26T00:00:00"/>
        <d v="2017-08-28T00:00:00"/>
        <d v="2011-04-04T00:00:00"/>
        <d v="2014-03-16T00:00:00"/>
        <d v="2012-01-29T00:00:00"/>
        <d v="2021-09-19T00:00:00"/>
        <d v="2012-08-21T00:00:00"/>
        <d v="2021-12-19T00:00:00"/>
        <d v="2014-02-11T00:00:00"/>
        <d v="2012-05-26T00:00:00"/>
        <d v="2022-03-19T00:00:00"/>
        <d v="2024-10-22T00:00:00"/>
        <d v="2017-09-21T00:00:00"/>
        <d v="2023-03-28T00:00:00"/>
        <d v="2024-07-17T00:00:00"/>
        <d v="2014-03-03T00:00:00"/>
        <d v="2021-10-22T00:00:00"/>
        <d v="2010-03-30T00:00:00"/>
        <d v="2016-07-18T00:00:00"/>
      </sharedItems>
      <fieldGroup par="27"/>
    </cacheField>
    <cacheField name="Years_at_Company" numFmtId="0">
      <sharedItems containsSemiMixedTypes="0" containsString="0" containsNumber="1" containsInteger="1" minValue="2" maxValue="16" count="15">
        <n v="4"/>
        <n v="7"/>
        <n v="8"/>
        <n v="2"/>
        <n v="12"/>
        <n v="15"/>
        <n v="14"/>
        <n v="16"/>
        <n v="6"/>
        <n v="10"/>
        <n v="11"/>
        <n v="13"/>
        <n v="9"/>
        <n v="5"/>
        <n v="3"/>
      </sharedItems>
    </cacheField>
    <cacheField name="Salary" numFmtId="4">
      <sharedItems containsSemiMixedTypes="0" containsString="0" containsNumber="1" minValue="35256.800000000003" maxValue="117615.52" count="300">
        <n v="50651.02"/>
        <n v="52012.53"/>
        <n v="66754.37"/>
        <n v="38927.14"/>
        <n v="80656.81"/>
        <n v="100971.69"/>
        <n v="49675.01"/>
        <n v="53390.080000000002"/>
        <n v="117327.22"/>
        <n v="48826.79"/>
        <n v="82511.02"/>
        <n v="88481.33"/>
        <n v="65380.45"/>
        <n v="77567.13"/>
        <n v="64499.81"/>
        <n v="90730.1"/>
        <n v="77851.59"/>
        <n v="85919.27"/>
        <n v="81288.19"/>
        <n v="50259.54"/>
        <n v="67469.66"/>
        <n v="74586.48"/>
        <n v="87145.53"/>
        <n v="36343.4"/>
        <n v="58227.49"/>
        <n v="67004.19"/>
        <n v="49174.879999999997"/>
        <n v="68638.210000000006"/>
        <n v="88094.98"/>
        <n v="37343.85"/>
        <n v="68398.61"/>
        <n v="78792.5"/>
        <n v="88101.06"/>
        <n v="66865.78"/>
        <n v="66890.47"/>
        <n v="49199.66"/>
        <n v="62830.239999999998"/>
        <n v="49103.62"/>
        <n v="62433.39"/>
        <n v="65932.320000000007"/>
        <n v="97480.03"/>
        <n v="88218.52"/>
        <n v="73152.05"/>
        <n v="69397.48"/>
        <n v="87088.34"/>
        <n v="81712.42"/>
        <n v="74307.86"/>
        <n v="61297.55"/>
        <n v="42153.95"/>
        <n v="42278.49"/>
        <n v="80656.649999999994"/>
        <n v="46645.47"/>
        <n v="37168.239999999998"/>
        <n v="58416.57"/>
        <n v="36251.230000000003"/>
        <n v="72243.240000000005"/>
        <n v="117615.52"/>
        <n v="45184.31"/>
        <n v="76011.59"/>
        <n v="93956.01"/>
        <n v="51946.58"/>
        <n v="63084.17"/>
        <n v="45177.16"/>
        <n v="54221.85"/>
        <n v="68096.929999999993"/>
        <n v="102551.21"/>
        <n v="74545.55"/>
        <n v="70724.84"/>
        <n v="94413.99"/>
        <n v="67528.09"/>
        <n v="66984.02"/>
        <n v="63751.14"/>
        <n v="74297.58"/>
        <n v="51987.63"/>
        <n v="97587.839999999997"/>
        <n v="57630.8"/>
        <n v="39127.11"/>
        <n v="49343.97"/>
        <n v="86531.86"/>
        <n v="106971.24"/>
        <n v="69717.56"/>
        <n v="52357.77"/>
        <n v="98423.42"/>
        <n v="66039.42"/>
        <n v="36913.94"/>
        <n v="63720.87"/>
        <n v="109822.06"/>
        <n v="36445.620000000003"/>
        <n v="50503.17"/>
        <n v="63577.57"/>
        <n v="70812.149999999994"/>
        <n v="60544.32"/>
        <n v="72178.759999999995"/>
        <n v="71467.13"/>
        <n v="56249.19"/>
        <n v="88237.95"/>
        <n v="83994.9"/>
        <n v="36578.53"/>
        <n v="84410.79"/>
        <n v="97867.57"/>
        <n v="46539.98"/>
        <n v="40310.89"/>
        <n v="83523.47"/>
        <n v="80101.56"/>
        <n v="68462.789999999994"/>
        <n v="51874.35"/>
        <n v="92388.1"/>
        <n v="69329.679999999993"/>
        <n v="37264.49"/>
        <n v="92473.22"/>
        <n v="56538.98"/>
        <n v="59122.5"/>
        <n v="63169.69"/>
        <n v="53570.49"/>
        <n v="74836.789999999994"/>
        <n v="85023.76"/>
        <n v="62665.58"/>
        <n v="44309.61"/>
        <n v="68980.94"/>
        <n v="42444.87"/>
        <n v="65398.58"/>
        <n v="93958.7"/>
        <n v="54192.31"/>
        <n v="82057.14"/>
        <n v="54795.46"/>
        <n v="94312.45"/>
        <n v="57311.11"/>
        <n v="88279.89"/>
        <n v="80043.11"/>
        <n v="75629.2"/>
        <n v="65689.64"/>
        <n v="56731.67"/>
        <n v="76977.7"/>
        <n v="53289.65"/>
        <n v="62892.95"/>
        <n v="37412.51"/>
        <n v="47452.13"/>
        <n v="71799.429999999993"/>
        <n v="75676.490000000005"/>
        <n v="48732.25"/>
        <n v="67007.55"/>
        <n v="75236.960000000006"/>
        <n v="84709.01"/>
        <n v="58885.01"/>
        <n v="69544.399999999994"/>
        <n v="74664.88"/>
        <n v="102767.09"/>
        <n v="62863.58"/>
        <n v="66714.710000000006"/>
        <n v="44010.79"/>
        <n v="39238.85"/>
        <n v="54148.97"/>
        <n v="49480.22"/>
        <n v="49033.98"/>
        <n v="57718.12"/>
        <n v="49312.6"/>
        <n v="88455.81"/>
        <n v="48741.89"/>
        <n v="80124.800000000003"/>
        <n v="63190.55"/>
        <n v="76179.490000000005"/>
        <n v="52510.080000000002"/>
        <n v="85659.35"/>
        <n v="70234.820000000007"/>
        <n v="69678.02"/>
        <n v="92973.51"/>
        <n v="96156.3"/>
        <n v="46305.07"/>
        <n v="60416.29"/>
        <n v="76012.929999999993"/>
        <n v="51194.98"/>
        <n v="72788.740000000005"/>
        <n v="47773.93"/>
        <n v="61128.1"/>
        <n v="76537.73"/>
        <n v="83624.83"/>
        <n v="38280.85"/>
        <n v="63593.440000000002"/>
        <n v="70092.36"/>
        <n v="62899.61"/>
        <n v="49787.78"/>
        <n v="84880.14"/>
        <n v="72045.94"/>
        <n v="74818.789999999994"/>
        <n v="76692.75"/>
        <n v="35256.800000000003"/>
        <n v="96907.8"/>
        <n v="62754.85"/>
        <n v="52329.69"/>
        <n v="98387.18"/>
        <n v="39127.65"/>
        <n v="70595.92"/>
        <n v="41625.58"/>
        <n v="42758.34"/>
        <n v="48919.27"/>
        <n v="106282.75"/>
        <n v="50229.9"/>
        <n v="53774.64"/>
        <n v="74707.990000000005"/>
        <n v="61561.26"/>
        <n v="71215.86"/>
        <n v="52730.98"/>
        <n v="56018.7"/>
        <n v="74066.600000000006"/>
        <n v="57153.48"/>
        <n v="77551.350000000006"/>
        <n v="94750.09"/>
        <n v="104535.61"/>
        <n v="35403.18"/>
        <n v="65694.63"/>
        <n v="50941.01"/>
        <n v="74364.509999999995"/>
        <n v="57631.199999999997"/>
        <n v="84506.52"/>
        <n v="74504.86"/>
        <n v="36715.68"/>
        <n v="39980.47"/>
        <n v="60211.21"/>
        <n v="89075.91"/>
        <n v="56848.57"/>
        <n v="43862.1"/>
        <n v="89821.81"/>
        <n v="80458.28"/>
        <n v="77228.97"/>
        <n v="74679.23"/>
        <n v="70270.48"/>
        <n v="68771.399999999994"/>
        <n v="96742.95"/>
        <n v="77882.009999999995"/>
        <n v="45302.34"/>
        <n v="93791.43"/>
        <n v="65500.33"/>
        <n v="95631"/>
        <n v="37436.67"/>
        <n v="54888.13"/>
        <n v="65870.539999999994"/>
        <n v="63106.92"/>
        <n v="52554.52"/>
        <n v="63826.13"/>
        <n v="58442.11"/>
        <n v="102374.73"/>
        <n v="81742.880000000005"/>
        <n v="61887.46"/>
        <n v="79108.100000000006"/>
        <n v="41831.199999999997"/>
        <n v="54794.44"/>
        <n v="80553.86"/>
        <n v="58441.68"/>
        <n v="74173.759999999995"/>
        <n v="88992.16"/>
        <n v="62896.09"/>
        <n v="99075.27"/>
        <n v="83042.100000000006"/>
        <n v="79056.100000000006"/>
        <n v="63940.56"/>
        <n v="85042.54"/>
        <n v="87790.34"/>
        <n v="56708.03"/>
        <n v="71539.47"/>
        <n v="69512.37"/>
        <n v="74889.53"/>
        <n v="40626.49"/>
        <n v="76675.360000000001"/>
        <n v="46209.07"/>
        <n v="52489.03"/>
        <n v="87051.57"/>
        <n v="82206.83"/>
        <n v="74196"/>
        <n v="43286.080000000002"/>
        <n v="89727.05"/>
        <n v="105153.28"/>
        <n v="54707.54"/>
        <n v="79219.88"/>
        <n v="42441.87"/>
        <n v="73900.350000000006"/>
        <n v="63770.73"/>
        <n v="68066.91"/>
        <n v="53763.06"/>
        <n v="57569.96"/>
        <n v="61269.56"/>
        <n v="78976.039999999994"/>
        <n v="52822.22"/>
        <n v="72579.759999999995"/>
        <n v="64759.59"/>
        <n v="59407.58"/>
        <n v="52529.34"/>
        <n v="47269.440000000002"/>
        <n v="59400.62"/>
        <n v="38534.550000000003"/>
        <n v="69980.73"/>
        <n v="66181.53"/>
        <n v="81647.990000000005"/>
        <n v="38381.519999999997"/>
        <n v="84514.46"/>
        <n v="54713.42"/>
        <n v="35785.39"/>
        <n v="76857.89"/>
        <n v="99014.75"/>
        <n v="56099.1"/>
        <n v="105667.18"/>
      </sharedItems>
    </cacheField>
    <cacheField name="Bonus" numFmtId="4">
      <sharedItems containsSemiMixedTypes="0" containsString="0" containsNumber="1" minValue="1009.39" maxValue="16862.7"/>
    </cacheField>
    <cacheField name="Overtime" numFmtId="0">
      <sharedItems/>
    </cacheField>
    <cacheField name="Performance_Rating" numFmtId="0">
      <sharedItems containsSemiMixedTypes="0" containsString="0" containsNumber="1" containsInteger="1" minValue="1" maxValue="5" count="5">
        <n v="2"/>
        <n v="3"/>
        <n v="4"/>
        <n v="1"/>
        <n v="5"/>
      </sharedItems>
    </cacheField>
    <cacheField name="Job_Satisfaction" numFmtId="0">
      <sharedItems containsSemiMixedTypes="0" containsString="0" containsNumber="1" containsInteger="1" minValue="1" maxValue="5"/>
    </cacheField>
    <cacheField name="Work_Life_Balance" numFmtId="0">
      <sharedItems containsSemiMixedTypes="0" containsString="0" containsNumber="1" containsInteger="1" minValue="1" maxValue="5"/>
    </cacheField>
    <cacheField name="Training_Hours" numFmtId="0">
      <sharedItems containsSemiMixedTypes="0" containsString="0" containsNumber="1" containsInteger="1" minValue="0" maxValue="80"/>
    </cacheField>
    <cacheField name="Promotion_Last_5_Years" numFmtId="0">
      <sharedItems/>
    </cacheField>
    <cacheField name="Distance_From_Home" numFmtId="0">
      <sharedItems containsSemiMixedTypes="0" containsString="0" containsNumber="1" containsInteger="1" minValue="1" maxValue="30"/>
    </cacheField>
    <cacheField name="Business_Travel" numFmtId="0">
      <sharedItems count="3">
        <s v="Travel_Frequently"/>
        <s v="Travel_Rarely"/>
        <s v="Non-Travel"/>
      </sharedItems>
    </cacheField>
    <cacheField name="Absent_Days" numFmtId="0">
      <sharedItems containsSemiMixedTypes="0" containsString="0" containsNumber="1" containsInteger="1" minValue="0" maxValue="20"/>
    </cacheField>
    <cacheField name="Attrition" numFmtId="0">
      <sharedItems/>
    </cacheField>
    <cacheField name="Exit_Date" numFmtId="164">
      <sharedItems containsNonDate="0" containsDate="1" containsString="0" containsBlank="1" minDate="2022-04-03T00:00:00" maxDate="2026-09-01T00:00:00"/>
    </cacheField>
    <cacheField name="Status" numFmtId="164">
      <sharedItems count="2">
        <s v="Active"/>
        <s v="Exited"/>
      </sharedItems>
    </cacheField>
    <cacheField name="City" numFmtId="0">
      <sharedItems count="15">
        <s v="San Antonio"/>
        <s v="New York"/>
        <s v="Philadelphia"/>
        <s v="Seattle"/>
        <s v="Atlanta"/>
        <s v="Dallas"/>
        <s v="Denver"/>
        <s v="Chicago"/>
        <s v="Houston"/>
        <s v="San Diego"/>
        <s v="Miami"/>
        <s v="Austin"/>
        <s v="Phoenix"/>
        <s v="Los Angeles"/>
        <s v="Boston"/>
      </sharedItems>
    </cacheField>
    <cacheField name="Months (Date_of_Joining)" numFmtId="0" databaseField="0">
      <fieldGroup base="8">
        <rangePr groupBy="months" startDate="2010-01-18T00:00:00" endDate="2024-11-27T00:00:00"/>
        <groupItems count="14">
          <s v="&lt;18-01-2010"/>
          <s v="Jan"/>
          <s v="Feb"/>
          <s v="Mar"/>
          <s v="Apr"/>
          <s v="May"/>
          <s v="Jun"/>
          <s v="Jul"/>
          <s v="Aug"/>
          <s v="Sep"/>
          <s v="Oct"/>
          <s v="Nov"/>
          <s v="Dec"/>
          <s v="&gt;27-11-2024"/>
        </groupItems>
      </fieldGroup>
    </cacheField>
    <cacheField name="Quarters (Date_of_Joining)" numFmtId="0" databaseField="0">
      <fieldGroup base="8">
        <rangePr groupBy="quarters" startDate="2010-01-18T00:00:00" endDate="2024-11-27T00:00:00"/>
        <groupItems count="6">
          <s v="&lt;18-01-2010"/>
          <s v="Qtr1"/>
          <s v="Qtr2"/>
          <s v="Qtr3"/>
          <s v="Qtr4"/>
          <s v="&gt;27-11-2024"/>
        </groupItems>
      </fieldGroup>
    </cacheField>
    <cacheField name="Years (Date_of_Joining)" numFmtId="0" databaseField="0">
      <fieldGroup base="8">
        <rangePr groupBy="years" startDate="2010-01-18T00:00:00" endDate="2024-11-27T00:00:00"/>
        <groupItems count="17">
          <s v="&lt;18-01-2010"/>
          <s v="2010"/>
          <s v="2011"/>
          <s v="2012"/>
          <s v="2013"/>
          <s v="2014"/>
          <s v="2015"/>
          <s v="2016"/>
          <s v="2017"/>
          <s v="2018"/>
          <s v="2019"/>
          <s v="2020"/>
          <s v="2021"/>
          <s v="2022"/>
          <s v="2023"/>
          <s v="2024"/>
          <s v="&gt;27-11-2024"/>
        </groupItems>
      </fieldGroup>
    </cacheField>
  </cacheFields>
  <extLst>
    <ext xmlns:x14="http://schemas.microsoft.com/office/spreadsheetml/2009/9/main" uri="{725AE2AE-9491-48be-B2B4-4EB974FC3084}">
      <x14:pivotCacheDefinition pivotCacheId="2098571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James White"/>
    <x v="0"/>
    <n v="38"/>
    <x v="0"/>
    <x v="0"/>
    <x v="0"/>
    <x v="0"/>
    <x v="0"/>
    <x v="0"/>
    <x v="0"/>
    <n v="3791.22"/>
    <s v="Yes"/>
    <x v="0"/>
    <n v="2"/>
    <n v="5"/>
    <n v="77"/>
    <s v="Yes"/>
    <n v="7"/>
    <x v="0"/>
    <n v="20"/>
    <s v="No"/>
    <m/>
    <x v="0"/>
    <x v="0"/>
  </r>
  <r>
    <x v="1"/>
    <s v="Steven Jackson"/>
    <x v="0"/>
    <n v="38"/>
    <x v="1"/>
    <x v="1"/>
    <x v="1"/>
    <x v="0"/>
    <x v="1"/>
    <x v="1"/>
    <x v="1"/>
    <n v="2091.5500000000002"/>
    <s v="No"/>
    <x v="1"/>
    <n v="1"/>
    <n v="1"/>
    <n v="48"/>
    <s v="Yes"/>
    <n v="28"/>
    <x v="1"/>
    <n v="19"/>
    <s v="No"/>
    <m/>
    <x v="0"/>
    <x v="1"/>
  </r>
  <r>
    <x v="2"/>
    <s v="Emily Brown"/>
    <x v="1"/>
    <n v="45"/>
    <x v="2"/>
    <x v="2"/>
    <x v="2"/>
    <x v="1"/>
    <x v="2"/>
    <x v="2"/>
    <x v="2"/>
    <n v="7449.41"/>
    <s v="Yes"/>
    <x v="0"/>
    <n v="3"/>
    <n v="1"/>
    <n v="29"/>
    <s v="No"/>
    <n v="13"/>
    <x v="1"/>
    <n v="14"/>
    <s v="No"/>
    <m/>
    <x v="0"/>
    <x v="2"/>
  </r>
  <r>
    <x v="3"/>
    <s v="Matthew Lopez"/>
    <x v="0"/>
    <n v="34"/>
    <x v="3"/>
    <x v="3"/>
    <x v="1"/>
    <x v="1"/>
    <x v="3"/>
    <x v="3"/>
    <x v="3"/>
    <n v="3991.87"/>
    <s v="No"/>
    <x v="0"/>
    <n v="2"/>
    <n v="4"/>
    <n v="48"/>
    <s v="No"/>
    <n v="30"/>
    <x v="0"/>
    <n v="17"/>
    <s v="No"/>
    <m/>
    <x v="0"/>
    <x v="2"/>
  </r>
  <r>
    <x v="4"/>
    <s v="Joseph Clark"/>
    <x v="0"/>
    <n v="23"/>
    <x v="1"/>
    <x v="4"/>
    <x v="0"/>
    <x v="0"/>
    <x v="4"/>
    <x v="4"/>
    <x v="4"/>
    <n v="7560.24"/>
    <s v="No"/>
    <x v="0"/>
    <n v="4"/>
    <n v="4"/>
    <n v="58"/>
    <s v="Yes"/>
    <n v="5"/>
    <x v="2"/>
    <n v="17"/>
    <s v="No"/>
    <m/>
    <x v="0"/>
    <x v="3"/>
  </r>
  <r>
    <x v="5"/>
    <s v="Donna Gonzalez"/>
    <x v="1"/>
    <n v="44"/>
    <x v="0"/>
    <x v="0"/>
    <x v="1"/>
    <x v="0"/>
    <x v="5"/>
    <x v="5"/>
    <x v="5"/>
    <n v="4025.68"/>
    <s v="Yes"/>
    <x v="2"/>
    <n v="5"/>
    <n v="1"/>
    <n v="49"/>
    <s v="No"/>
    <n v="15"/>
    <x v="0"/>
    <n v="8"/>
    <s v="No"/>
    <m/>
    <x v="0"/>
    <x v="4"/>
  </r>
  <r>
    <x v="6"/>
    <s v="Michael Perez"/>
    <x v="0"/>
    <n v="55"/>
    <x v="1"/>
    <x v="4"/>
    <x v="1"/>
    <x v="2"/>
    <x v="6"/>
    <x v="6"/>
    <x v="6"/>
    <n v="2014.84"/>
    <s v="Yes"/>
    <x v="1"/>
    <n v="5"/>
    <n v="2"/>
    <n v="64"/>
    <s v="No"/>
    <n v="28"/>
    <x v="0"/>
    <n v="9"/>
    <s v="No"/>
    <m/>
    <x v="0"/>
    <x v="5"/>
  </r>
  <r>
    <x v="7"/>
    <s v="William Lopez"/>
    <x v="0"/>
    <n v="31"/>
    <x v="4"/>
    <x v="5"/>
    <x v="1"/>
    <x v="2"/>
    <x v="7"/>
    <x v="7"/>
    <x v="7"/>
    <n v="3587.15"/>
    <s v="No"/>
    <x v="1"/>
    <n v="2"/>
    <n v="1"/>
    <n v="30"/>
    <s v="No"/>
    <n v="3"/>
    <x v="2"/>
    <n v="15"/>
    <s v="No"/>
    <m/>
    <x v="0"/>
    <x v="6"/>
  </r>
  <r>
    <x v="8"/>
    <s v="William Perez"/>
    <x v="0"/>
    <n v="51"/>
    <x v="4"/>
    <x v="6"/>
    <x v="0"/>
    <x v="1"/>
    <x v="8"/>
    <x v="1"/>
    <x v="8"/>
    <n v="16514.830000000002"/>
    <s v="No"/>
    <x v="0"/>
    <n v="3"/>
    <n v="4"/>
    <n v="47"/>
    <s v="No"/>
    <n v="17"/>
    <x v="1"/>
    <n v="3"/>
    <s v="No"/>
    <m/>
    <x v="0"/>
    <x v="7"/>
  </r>
  <r>
    <x v="9"/>
    <s v="Mary Jackson"/>
    <x v="1"/>
    <n v="56"/>
    <x v="0"/>
    <x v="0"/>
    <x v="3"/>
    <x v="1"/>
    <x v="9"/>
    <x v="3"/>
    <x v="9"/>
    <n v="1404.36"/>
    <s v="Yes"/>
    <x v="1"/>
    <n v="1"/>
    <n v="5"/>
    <n v="30"/>
    <s v="No"/>
    <n v="16"/>
    <x v="2"/>
    <n v="17"/>
    <s v="Yes"/>
    <d v="2026-08-26T00:00:00"/>
    <x v="1"/>
    <x v="8"/>
  </r>
  <r>
    <x v="10"/>
    <s v="Betty Miller"/>
    <x v="1"/>
    <n v="27"/>
    <x v="2"/>
    <x v="7"/>
    <x v="0"/>
    <x v="2"/>
    <x v="10"/>
    <x v="8"/>
    <x v="10"/>
    <n v="2231.2800000000002"/>
    <s v="No"/>
    <x v="3"/>
    <n v="1"/>
    <n v="4"/>
    <n v="43"/>
    <s v="No"/>
    <n v="4"/>
    <x v="2"/>
    <n v="6"/>
    <s v="No"/>
    <m/>
    <x v="0"/>
    <x v="9"/>
  </r>
  <r>
    <x v="11"/>
    <s v="Mark Garcia"/>
    <x v="0"/>
    <n v="38"/>
    <x v="5"/>
    <x v="8"/>
    <x v="2"/>
    <x v="0"/>
    <x v="11"/>
    <x v="1"/>
    <x v="11"/>
    <n v="11615.45"/>
    <s v="Yes"/>
    <x v="4"/>
    <n v="1"/>
    <n v="1"/>
    <n v="30"/>
    <s v="Yes"/>
    <n v="16"/>
    <x v="1"/>
    <n v="6"/>
    <s v="No"/>
    <m/>
    <x v="0"/>
    <x v="10"/>
  </r>
  <r>
    <x v="12"/>
    <s v="David Gonzalez"/>
    <x v="0"/>
    <n v="21"/>
    <x v="5"/>
    <x v="9"/>
    <x v="4"/>
    <x v="2"/>
    <x v="12"/>
    <x v="9"/>
    <x v="12"/>
    <n v="9444.2900000000009"/>
    <s v="No"/>
    <x v="4"/>
    <n v="4"/>
    <n v="2"/>
    <n v="24"/>
    <s v="No"/>
    <n v="2"/>
    <x v="0"/>
    <n v="17"/>
    <s v="Yes"/>
    <d v="2023-10-05T00:00:00"/>
    <x v="1"/>
    <x v="1"/>
  </r>
  <r>
    <x v="13"/>
    <s v="Kevin Thomas"/>
    <x v="0"/>
    <n v="53"/>
    <x v="1"/>
    <x v="10"/>
    <x v="3"/>
    <x v="1"/>
    <x v="13"/>
    <x v="5"/>
    <x v="13"/>
    <n v="2242.29"/>
    <s v="Yes"/>
    <x v="0"/>
    <n v="4"/>
    <n v="1"/>
    <n v="72"/>
    <s v="Yes"/>
    <n v="20"/>
    <x v="2"/>
    <n v="19"/>
    <s v="Yes"/>
    <d v="2025-09-08T00:00:00"/>
    <x v="1"/>
    <x v="11"/>
  </r>
  <r>
    <x v="14"/>
    <s v="Sarah Miller"/>
    <x v="1"/>
    <n v="41"/>
    <x v="0"/>
    <x v="11"/>
    <x v="0"/>
    <x v="1"/>
    <x v="14"/>
    <x v="3"/>
    <x v="14"/>
    <n v="3941.13"/>
    <s v="No"/>
    <x v="3"/>
    <n v="1"/>
    <n v="4"/>
    <n v="79"/>
    <s v="No"/>
    <n v="4"/>
    <x v="2"/>
    <n v="17"/>
    <s v="No"/>
    <m/>
    <x v="0"/>
    <x v="12"/>
  </r>
  <r>
    <x v="15"/>
    <s v="Matthew Lewis"/>
    <x v="0"/>
    <n v="25"/>
    <x v="0"/>
    <x v="11"/>
    <x v="0"/>
    <x v="2"/>
    <x v="15"/>
    <x v="0"/>
    <x v="15"/>
    <n v="9029.2900000000009"/>
    <s v="No"/>
    <x v="4"/>
    <n v="1"/>
    <n v="5"/>
    <n v="38"/>
    <s v="No"/>
    <n v="4"/>
    <x v="2"/>
    <n v="8"/>
    <s v="Yes"/>
    <d v="2022-08-08T00:00:00"/>
    <x v="1"/>
    <x v="3"/>
  </r>
  <r>
    <x v="16"/>
    <s v="Thomas Martinez"/>
    <x v="0"/>
    <n v="59"/>
    <x v="0"/>
    <x v="11"/>
    <x v="0"/>
    <x v="1"/>
    <x v="16"/>
    <x v="10"/>
    <x v="16"/>
    <n v="4098.5600000000004"/>
    <s v="No"/>
    <x v="3"/>
    <n v="1"/>
    <n v="4"/>
    <n v="35"/>
    <s v="Yes"/>
    <n v="11"/>
    <x v="2"/>
    <n v="20"/>
    <s v="No"/>
    <m/>
    <x v="0"/>
    <x v="13"/>
  </r>
  <r>
    <x v="17"/>
    <s v="Emily Thompson"/>
    <x v="1"/>
    <n v="48"/>
    <x v="4"/>
    <x v="5"/>
    <x v="0"/>
    <x v="1"/>
    <x v="17"/>
    <x v="11"/>
    <x v="17"/>
    <n v="11040.4"/>
    <s v="No"/>
    <x v="0"/>
    <n v="4"/>
    <n v="2"/>
    <n v="5"/>
    <s v="No"/>
    <n v="29"/>
    <x v="2"/>
    <n v="11"/>
    <s v="No"/>
    <m/>
    <x v="0"/>
    <x v="8"/>
  </r>
  <r>
    <x v="18"/>
    <s v="Matthew Harris"/>
    <x v="0"/>
    <n v="56"/>
    <x v="1"/>
    <x v="12"/>
    <x v="4"/>
    <x v="1"/>
    <x v="18"/>
    <x v="11"/>
    <x v="18"/>
    <n v="4127.4799999999996"/>
    <s v="Yes"/>
    <x v="0"/>
    <n v="4"/>
    <n v="1"/>
    <n v="22"/>
    <s v="No"/>
    <n v="11"/>
    <x v="1"/>
    <n v="7"/>
    <s v="No"/>
    <m/>
    <x v="0"/>
    <x v="6"/>
  </r>
  <r>
    <x v="19"/>
    <s v="Anthony Ramirez"/>
    <x v="0"/>
    <n v="23"/>
    <x v="1"/>
    <x v="12"/>
    <x v="0"/>
    <x v="2"/>
    <x v="19"/>
    <x v="12"/>
    <x v="19"/>
    <n v="6201.77"/>
    <s v="Yes"/>
    <x v="3"/>
    <n v="2"/>
    <n v="4"/>
    <n v="42"/>
    <s v="No"/>
    <n v="3"/>
    <x v="1"/>
    <n v="11"/>
    <s v="No"/>
    <m/>
    <x v="0"/>
    <x v="0"/>
  </r>
  <r>
    <x v="20"/>
    <s v="Mary Brown"/>
    <x v="1"/>
    <n v="37"/>
    <x v="0"/>
    <x v="11"/>
    <x v="3"/>
    <x v="1"/>
    <x v="20"/>
    <x v="1"/>
    <x v="20"/>
    <n v="8247.2000000000007"/>
    <s v="No"/>
    <x v="4"/>
    <n v="1"/>
    <n v="4"/>
    <n v="73"/>
    <s v="Yes"/>
    <n v="2"/>
    <x v="0"/>
    <n v="13"/>
    <s v="Yes"/>
    <d v="2026-07-10T00:00:00"/>
    <x v="1"/>
    <x v="5"/>
  </r>
  <r>
    <x v="21"/>
    <s v="Matthew Wilson"/>
    <x v="0"/>
    <n v="25"/>
    <x v="3"/>
    <x v="3"/>
    <x v="1"/>
    <x v="1"/>
    <x v="21"/>
    <x v="6"/>
    <x v="21"/>
    <n v="4403.7299999999996"/>
    <s v="No"/>
    <x v="2"/>
    <n v="3"/>
    <n v="4"/>
    <n v="37"/>
    <s v="No"/>
    <n v="7"/>
    <x v="1"/>
    <n v="12"/>
    <s v="No"/>
    <m/>
    <x v="0"/>
    <x v="10"/>
  </r>
  <r>
    <x v="22"/>
    <s v="Brian Jackson"/>
    <x v="0"/>
    <n v="40"/>
    <x v="5"/>
    <x v="13"/>
    <x v="0"/>
    <x v="0"/>
    <x v="22"/>
    <x v="1"/>
    <x v="22"/>
    <n v="8615.73"/>
    <s v="No"/>
    <x v="2"/>
    <n v="4"/>
    <n v="2"/>
    <n v="65"/>
    <s v="No"/>
    <n v="29"/>
    <x v="0"/>
    <n v="5"/>
    <s v="No"/>
    <m/>
    <x v="0"/>
    <x v="12"/>
  </r>
  <r>
    <x v="23"/>
    <s v="Jennifer Clark"/>
    <x v="1"/>
    <n v="36"/>
    <x v="3"/>
    <x v="3"/>
    <x v="0"/>
    <x v="0"/>
    <x v="23"/>
    <x v="11"/>
    <x v="23"/>
    <n v="1883.66"/>
    <s v="No"/>
    <x v="3"/>
    <n v="4"/>
    <n v="4"/>
    <n v="80"/>
    <s v="No"/>
    <n v="23"/>
    <x v="0"/>
    <n v="12"/>
    <s v="No"/>
    <m/>
    <x v="0"/>
    <x v="8"/>
  </r>
  <r>
    <x v="24"/>
    <s v="James Lewis"/>
    <x v="0"/>
    <n v="27"/>
    <x v="1"/>
    <x v="12"/>
    <x v="0"/>
    <x v="1"/>
    <x v="24"/>
    <x v="13"/>
    <x v="24"/>
    <n v="5383.87"/>
    <s v="No"/>
    <x v="3"/>
    <n v="4"/>
    <n v="2"/>
    <n v="59"/>
    <s v="No"/>
    <n v="18"/>
    <x v="0"/>
    <n v="10"/>
    <s v="No"/>
    <m/>
    <x v="0"/>
    <x v="10"/>
  </r>
  <r>
    <x v="25"/>
    <s v="Michelle Clark"/>
    <x v="1"/>
    <n v="53"/>
    <x v="5"/>
    <x v="14"/>
    <x v="2"/>
    <x v="1"/>
    <x v="25"/>
    <x v="8"/>
    <x v="25"/>
    <n v="7888.47"/>
    <s v="No"/>
    <x v="1"/>
    <n v="5"/>
    <n v="4"/>
    <n v="80"/>
    <s v="Yes"/>
    <n v="15"/>
    <x v="2"/>
    <n v="9"/>
    <s v="No"/>
    <m/>
    <x v="0"/>
    <x v="2"/>
  </r>
  <r>
    <x v="26"/>
    <s v="Emily Williams"/>
    <x v="1"/>
    <n v="29"/>
    <x v="0"/>
    <x v="0"/>
    <x v="0"/>
    <x v="0"/>
    <x v="26"/>
    <x v="4"/>
    <x v="26"/>
    <n v="3589.17"/>
    <s v="No"/>
    <x v="2"/>
    <n v="1"/>
    <n v="2"/>
    <n v="53"/>
    <s v="No"/>
    <n v="25"/>
    <x v="0"/>
    <n v="0"/>
    <s v="No"/>
    <m/>
    <x v="0"/>
    <x v="6"/>
  </r>
  <r>
    <x v="27"/>
    <s v="Ashley Smith"/>
    <x v="1"/>
    <n v="43"/>
    <x v="6"/>
    <x v="15"/>
    <x v="2"/>
    <x v="2"/>
    <x v="27"/>
    <x v="0"/>
    <x v="27"/>
    <n v="6245.88"/>
    <s v="No"/>
    <x v="0"/>
    <n v="4"/>
    <n v="2"/>
    <n v="34"/>
    <s v="No"/>
    <n v="1"/>
    <x v="1"/>
    <n v="10"/>
    <s v="No"/>
    <m/>
    <x v="0"/>
    <x v="6"/>
  </r>
  <r>
    <x v="28"/>
    <s v="Barbara Clark"/>
    <x v="1"/>
    <n v="50"/>
    <x v="0"/>
    <x v="16"/>
    <x v="4"/>
    <x v="1"/>
    <x v="28"/>
    <x v="0"/>
    <x v="28"/>
    <n v="2723.3"/>
    <s v="No"/>
    <x v="2"/>
    <n v="2"/>
    <n v="1"/>
    <n v="33"/>
    <s v="No"/>
    <n v="7"/>
    <x v="1"/>
    <n v="10"/>
    <s v="No"/>
    <m/>
    <x v="0"/>
    <x v="10"/>
  </r>
  <r>
    <x v="29"/>
    <s v="Sarah Harris"/>
    <x v="1"/>
    <n v="47"/>
    <x v="6"/>
    <x v="17"/>
    <x v="0"/>
    <x v="1"/>
    <x v="29"/>
    <x v="0"/>
    <x v="29"/>
    <n v="5368.16"/>
    <s v="Yes"/>
    <x v="3"/>
    <n v="1"/>
    <n v="1"/>
    <n v="31"/>
    <s v="Yes"/>
    <n v="1"/>
    <x v="0"/>
    <n v="4"/>
    <s v="No"/>
    <m/>
    <x v="0"/>
    <x v="9"/>
  </r>
  <r>
    <x v="30"/>
    <s v="Kevin Miller"/>
    <x v="0"/>
    <n v="50"/>
    <x v="3"/>
    <x v="3"/>
    <x v="1"/>
    <x v="0"/>
    <x v="30"/>
    <x v="14"/>
    <x v="30"/>
    <n v="8018.39"/>
    <s v="Yes"/>
    <x v="0"/>
    <n v="3"/>
    <n v="1"/>
    <n v="74"/>
    <s v="Yes"/>
    <n v="10"/>
    <x v="0"/>
    <n v="12"/>
    <s v="No"/>
    <m/>
    <x v="0"/>
    <x v="3"/>
  </r>
  <r>
    <x v="31"/>
    <s v="Robert Jackson"/>
    <x v="0"/>
    <n v="36"/>
    <x v="2"/>
    <x v="2"/>
    <x v="2"/>
    <x v="1"/>
    <x v="31"/>
    <x v="6"/>
    <x v="31"/>
    <n v="7372.71"/>
    <s v="Yes"/>
    <x v="4"/>
    <n v="4"/>
    <n v="3"/>
    <n v="8"/>
    <s v="No"/>
    <n v="11"/>
    <x v="2"/>
    <n v="13"/>
    <s v="No"/>
    <m/>
    <x v="0"/>
    <x v="7"/>
  </r>
  <r>
    <x v="32"/>
    <s v="Lisa Lee"/>
    <x v="1"/>
    <n v="50"/>
    <x v="3"/>
    <x v="18"/>
    <x v="0"/>
    <x v="1"/>
    <x v="32"/>
    <x v="13"/>
    <x v="32"/>
    <n v="4855.3100000000004"/>
    <s v="No"/>
    <x v="4"/>
    <n v="4"/>
    <n v="4"/>
    <n v="55"/>
    <s v="No"/>
    <n v="19"/>
    <x v="1"/>
    <n v="10"/>
    <s v="No"/>
    <m/>
    <x v="0"/>
    <x v="4"/>
  </r>
  <r>
    <x v="33"/>
    <s v="Thomas Lewis"/>
    <x v="0"/>
    <n v="49"/>
    <x v="0"/>
    <x v="19"/>
    <x v="1"/>
    <x v="1"/>
    <x v="33"/>
    <x v="2"/>
    <x v="33"/>
    <n v="5634.1"/>
    <s v="No"/>
    <x v="2"/>
    <n v="2"/>
    <n v="3"/>
    <n v="33"/>
    <s v="No"/>
    <n v="29"/>
    <x v="0"/>
    <n v="8"/>
    <s v="No"/>
    <m/>
    <x v="0"/>
    <x v="5"/>
  </r>
  <r>
    <x v="34"/>
    <s v="Robert Davis"/>
    <x v="0"/>
    <n v="47"/>
    <x v="5"/>
    <x v="8"/>
    <x v="1"/>
    <x v="1"/>
    <x v="34"/>
    <x v="13"/>
    <x v="34"/>
    <n v="1487.75"/>
    <s v="Yes"/>
    <x v="2"/>
    <n v="2"/>
    <n v="3"/>
    <n v="74"/>
    <s v="No"/>
    <n v="18"/>
    <x v="0"/>
    <n v="11"/>
    <s v="No"/>
    <m/>
    <x v="0"/>
    <x v="3"/>
  </r>
  <r>
    <x v="35"/>
    <s v="Lisa Thompson"/>
    <x v="1"/>
    <n v="50"/>
    <x v="6"/>
    <x v="20"/>
    <x v="0"/>
    <x v="0"/>
    <x v="35"/>
    <x v="4"/>
    <x v="35"/>
    <n v="5735.43"/>
    <s v="No"/>
    <x v="0"/>
    <n v="2"/>
    <n v="2"/>
    <n v="61"/>
    <s v="No"/>
    <n v="19"/>
    <x v="0"/>
    <n v="19"/>
    <s v="No"/>
    <m/>
    <x v="0"/>
    <x v="7"/>
  </r>
  <r>
    <x v="36"/>
    <s v="Charles Davis"/>
    <x v="0"/>
    <n v="44"/>
    <x v="0"/>
    <x v="11"/>
    <x v="3"/>
    <x v="1"/>
    <x v="36"/>
    <x v="6"/>
    <x v="36"/>
    <n v="9214.58"/>
    <s v="No"/>
    <x v="0"/>
    <n v="4"/>
    <n v="1"/>
    <n v="1"/>
    <s v="No"/>
    <n v="16"/>
    <x v="1"/>
    <n v="14"/>
    <s v="No"/>
    <m/>
    <x v="0"/>
    <x v="1"/>
  </r>
  <r>
    <x v="37"/>
    <s v="Ashley Brown"/>
    <x v="1"/>
    <n v="25"/>
    <x v="5"/>
    <x v="14"/>
    <x v="3"/>
    <x v="1"/>
    <x v="37"/>
    <x v="5"/>
    <x v="37"/>
    <n v="6159.97"/>
    <s v="No"/>
    <x v="3"/>
    <n v="2"/>
    <n v="1"/>
    <n v="71"/>
    <s v="No"/>
    <n v="20"/>
    <x v="0"/>
    <n v="19"/>
    <s v="No"/>
    <m/>
    <x v="0"/>
    <x v="5"/>
  </r>
  <r>
    <x v="38"/>
    <s v="Sandra Robinson"/>
    <x v="1"/>
    <n v="49"/>
    <x v="6"/>
    <x v="15"/>
    <x v="0"/>
    <x v="1"/>
    <x v="38"/>
    <x v="5"/>
    <x v="38"/>
    <n v="7255.48"/>
    <s v="No"/>
    <x v="0"/>
    <n v="2"/>
    <n v="3"/>
    <n v="10"/>
    <s v="Yes"/>
    <n v="6"/>
    <x v="0"/>
    <n v="2"/>
    <s v="Yes"/>
    <d v="2024-04-16T00:00:00"/>
    <x v="1"/>
    <x v="9"/>
  </r>
  <r>
    <x v="39"/>
    <s v="Karen Johnson"/>
    <x v="1"/>
    <n v="35"/>
    <x v="6"/>
    <x v="20"/>
    <x v="1"/>
    <x v="2"/>
    <x v="39"/>
    <x v="5"/>
    <x v="39"/>
    <n v="9237.67"/>
    <s v="No"/>
    <x v="4"/>
    <n v="2"/>
    <n v="4"/>
    <n v="14"/>
    <s v="No"/>
    <n v="21"/>
    <x v="2"/>
    <n v="8"/>
    <s v="No"/>
    <m/>
    <x v="0"/>
    <x v="7"/>
  </r>
  <r>
    <x v="40"/>
    <s v="David Sanchez"/>
    <x v="0"/>
    <n v="40"/>
    <x v="4"/>
    <x v="21"/>
    <x v="0"/>
    <x v="2"/>
    <x v="40"/>
    <x v="9"/>
    <x v="40"/>
    <n v="13895.57"/>
    <s v="No"/>
    <x v="2"/>
    <n v="4"/>
    <n v="1"/>
    <n v="76"/>
    <s v="Yes"/>
    <n v="14"/>
    <x v="0"/>
    <n v="10"/>
    <s v="No"/>
    <m/>
    <x v="0"/>
    <x v="1"/>
  </r>
  <r>
    <x v="41"/>
    <s v="Joseph Perez"/>
    <x v="0"/>
    <n v="57"/>
    <x v="4"/>
    <x v="5"/>
    <x v="4"/>
    <x v="1"/>
    <x v="41"/>
    <x v="9"/>
    <x v="41"/>
    <n v="10516.02"/>
    <s v="Yes"/>
    <x v="4"/>
    <n v="4"/>
    <n v="3"/>
    <n v="23"/>
    <s v="No"/>
    <n v="14"/>
    <x v="0"/>
    <n v="15"/>
    <s v="No"/>
    <m/>
    <x v="0"/>
    <x v="9"/>
  </r>
  <r>
    <x v="42"/>
    <s v="Betty Hernandez"/>
    <x v="1"/>
    <n v="41"/>
    <x v="3"/>
    <x v="22"/>
    <x v="2"/>
    <x v="2"/>
    <x v="42"/>
    <x v="1"/>
    <x v="42"/>
    <n v="4203.92"/>
    <s v="No"/>
    <x v="4"/>
    <n v="1"/>
    <n v="4"/>
    <n v="11"/>
    <s v="No"/>
    <n v="11"/>
    <x v="2"/>
    <n v="12"/>
    <s v="No"/>
    <m/>
    <x v="0"/>
    <x v="4"/>
  </r>
  <r>
    <x v="43"/>
    <s v="Joshua Anderson"/>
    <x v="0"/>
    <n v="47"/>
    <x v="2"/>
    <x v="23"/>
    <x v="1"/>
    <x v="1"/>
    <x v="43"/>
    <x v="13"/>
    <x v="43"/>
    <n v="8244.34"/>
    <s v="Yes"/>
    <x v="4"/>
    <n v="2"/>
    <n v="3"/>
    <n v="56"/>
    <s v="No"/>
    <n v="16"/>
    <x v="2"/>
    <n v="0"/>
    <s v="No"/>
    <m/>
    <x v="0"/>
    <x v="11"/>
  </r>
  <r>
    <x v="44"/>
    <s v="David Martinez"/>
    <x v="0"/>
    <n v="56"/>
    <x v="2"/>
    <x v="7"/>
    <x v="3"/>
    <x v="0"/>
    <x v="44"/>
    <x v="8"/>
    <x v="44"/>
    <n v="9074.7999999999993"/>
    <s v="Yes"/>
    <x v="1"/>
    <n v="5"/>
    <n v="3"/>
    <n v="53"/>
    <s v="No"/>
    <n v="16"/>
    <x v="2"/>
    <n v="14"/>
    <s v="No"/>
    <m/>
    <x v="0"/>
    <x v="0"/>
  </r>
  <r>
    <x v="45"/>
    <s v="Brian Taylor"/>
    <x v="0"/>
    <n v="29"/>
    <x v="1"/>
    <x v="1"/>
    <x v="0"/>
    <x v="2"/>
    <x v="45"/>
    <x v="12"/>
    <x v="45"/>
    <n v="7027.75"/>
    <s v="No"/>
    <x v="1"/>
    <n v="3"/>
    <n v="5"/>
    <n v="74"/>
    <s v="No"/>
    <n v="16"/>
    <x v="2"/>
    <n v="14"/>
    <s v="No"/>
    <m/>
    <x v="0"/>
    <x v="2"/>
  </r>
  <r>
    <x v="46"/>
    <s v="Emily Harris"/>
    <x v="1"/>
    <n v="55"/>
    <x v="5"/>
    <x v="14"/>
    <x v="4"/>
    <x v="0"/>
    <x v="46"/>
    <x v="10"/>
    <x v="46"/>
    <n v="3742.38"/>
    <s v="No"/>
    <x v="3"/>
    <n v="3"/>
    <n v="4"/>
    <n v="48"/>
    <s v="No"/>
    <n v="22"/>
    <x v="0"/>
    <n v="4"/>
    <s v="No"/>
    <m/>
    <x v="0"/>
    <x v="1"/>
  </r>
  <r>
    <x v="47"/>
    <s v="Andrew Jackson"/>
    <x v="0"/>
    <n v="42"/>
    <x v="1"/>
    <x v="1"/>
    <x v="2"/>
    <x v="2"/>
    <x v="47"/>
    <x v="6"/>
    <x v="47"/>
    <n v="4867.07"/>
    <s v="No"/>
    <x v="2"/>
    <n v="2"/>
    <n v="1"/>
    <n v="60"/>
    <s v="No"/>
    <n v="9"/>
    <x v="1"/>
    <n v="19"/>
    <s v="No"/>
    <m/>
    <x v="0"/>
    <x v="14"/>
  </r>
  <r>
    <x v="48"/>
    <s v="Daniel Ramirez"/>
    <x v="0"/>
    <n v="55"/>
    <x v="5"/>
    <x v="9"/>
    <x v="1"/>
    <x v="2"/>
    <x v="48"/>
    <x v="0"/>
    <x v="48"/>
    <n v="1218.03"/>
    <s v="No"/>
    <x v="1"/>
    <n v="2"/>
    <n v="1"/>
    <n v="55"/>
    <s v="No"/>
    <n v="25"/>
    <x v="0"/>
    <n v="3"/>
    <s v="No"/>
    <m/>
    <x v="0"/>
    <x v="3"/>
  </r>
  <r>
    <x v="49"/>
    <s v="Mary Johnson"/>
    <x v="1"/>
    <n v="41"/>
    <x v="1"/>
    <x v="1"/>
    <x v="0"/>
    <x v="2"/>
    <x v="49"/>
    <x v="1"/>
    <x v="49"/>
    <n v="3764.97"/>
    <s v="No"/>
    <x v="0"/>
    <n v="2"/>
    <n v="2"/>
    <n v="10"/>
    <s v="No"/>
    <n v="13"/>
    <x v="0"/>
    <n v="7"/>
    <s v="No"/>
    <m/>
    <x v="0"/>
    <x v="11"/>
  </r>
  <r>
    <x v="50"/>
    <s v="Joseph Anderson"/>
    <x v="0"/>
    <n v="37"/>
    <x v="5"/>
    <x v="9"/>
    <x v="1"/>
    <x v="2"/>
    <x v="50"/>
    <x v="9"/>
    <x v="50"/>
    <n v="3269.56"/>
    <s v="No"/>
    <x v="1"/>
    <n v="5"/>
    <n v="3"/>
    <n v="54"/>
    <s v="No"/>
    <n v="15"/>
    <x v="1"/>
    <n v="6"/>
    <s v="No"/>
    <m/>
    <x v="0"/>
    <x v="4"/>
  </r>
  <r>
    <x v="51"/>
    <s v="Linda Davis"/>
    <x v="1"/>
    <n v="45"/>
    <x v="4"/>
    <x v="21"/>
    <x v="1"/>
    <x v="1"/>
    <x v="51"/>
    <x v="9"/>
    <x v="51"/>
    <n v="5966.18"/>
    <s v="No"/>
    <x v="3"/>
    <n v="5"/>
    <n v="1"/>
    <n v="77"/>
    <s v="No"/>
    <n v="27"/>
    <x v="1"/>
    <n v="7"/>
    <s v="No"/>
    <m/>
    <x v="0"/>
    <x v="2"/>
  </r>
  <r>
    <x v="52"/>
    <s v="Richard Martin"/>
    <x v="0"/>
    <n v="37"/>
    <x v="3"/>
    <x v="18"/>
    <x v="1"/>
    <x v="1"/>
    <x v="52"/>
    <x v="3"/>
    <x v="52"/>
    <n v="4553.83"/>
    <s v="Yes"/>
    <x v="1"/>
    <n v="2"/>
    <n v="1"/>
    <n v="37"/>
    <s v="No"/>
    <n v="14"/>
    <x v="2"/>
    <n v="6"/>
    <s v="Yes"/>
    <d v="2026-01-19T00:00:00"/>
    <x v="1"/>
    <x v="5"/>
  </r>
  <r>
    <x v="53"/>
    <s v="Barbara Rodriguez"/>
    <x v="1"/>
    <n v="51"/>
    <x v="1"/>
    <x v="4"/>
    <x v="1"/>
    <x v="2"/>
    <x v="53"/>
    <x v="6"/>
    <x v="53"/>
    <n v="1740.17"/>
    <s v="No"/>
    <x v="0"/>
    <n v="4"/>
    <n v="5"/>
    <n v="46"/>
    <s v="Yes"/>
    <n v="13"/>
    <x v="2"/>
    <n v="8"/>
    <s v="No"/>
    <m/>
    <x v="0"/>
    <x v="9"/>
  </r>
  <r>
    <x v="54"/>
    <s v="Sarah Jackson"/>
    <x v="1"/>
    <n v="45"/>
    <x v="1"/>
    <x v="4"/>
    <x v="0"/>
    <x v="0"/>
    <x v="54"/>
    <x v="8"/>
    <x v="54"/>
    <n v="4892.12"/>
    <s v="No"/>
    <x v="4"/>
    <n v="2"/>
    <n v="1"/>
    <n v="59"/>
    <s v="No"/>
    <n v="10"/>
    <x v="0"/>
    <n v="13"/>
    <s v="Yes"/>
    <d v="2022-04-03T00:00:00"/>
    <x v="1"/>
    <x v="1"/>
  </r>
  <r>
    <x v="55"/>
    <s v="Ashley Brown"/>
    <x v="1"/>
    <n v="27"/>
    <x v="0"/>
    <x v="0"/>
    <x v="0"/>
    <x v="2"/>
    <x v="55"/>
    <x v="0"/>
    <x v="55"/>
    <n v="8415.9699999999993"/>
    <s v="Yes"/>
    <x v="2"/>
    <n v="1"/>
    <n v="4"/>
    <n v="78"/>
    <s v="No"/>
    <n v="9"/>
    <x v="2"/>
    <n v="11"/>
    <s v="No"/>
    <m/>
    <x v="0"/>
    <x v="9"/>
  </r>
  <r>
    <x v="56"/>
    <s v="Matthew Brown"/>
    <x v="0"/>
    <n v="44"/>
    <x v="4"/>
    <x v="21"/>
    <x v="3"/>
    <x v="2"/>
    <x v="56"/>
    <x v="4"/>
    <x v="56"/>
    <n v="16862.7"/>
    <s v="No"/>
    <x v="3"/>
    <n v="2"/>
    <n v="5"/>
    <n v="2"/>
    <s v="Yes"/>
    <n v="11"/>
    <x v="2"/>
    <n v="4"/>
    <s v="No"/>
    <m/>
    <x v="0"/>
    <x v="8"/>
  </r>
  <r>
    <x v="57"/>
    <s v="Joshua Miller"/>
    <x v="0"/>
    <n v="58"/>
    <x v="0"/>
    <x v="0"/>
    <x v="0"/>
    <x v="0"/>
    <x v="57"/>
    <x v="14"/>
    <x v="57"/>
    <n v="5945.93"/>
    <s v="Yes"/>
    <x v="0"/>
    <n v="5"/>
    <n v="3"/>
    <n v="22"/>
    <s v="Yes"/>
    <n v="28"/>
    <x v="2"/>
    <n v="4"/>
    <s v="Yes"/>
    <d v="2024-05-02T00:00:00"/>
    <x v="1"/>
    <x v="11"/>
  </r>
  <r>
    <x v="58"/>
    <s v="Mary Garcia"/>
    <x v="1"/>
    <n v="37"/>
    <x v="2"/>
    <x v="23"/>
    <x v="1"/>
    <x v="1"/>
    <x v="58"/>
    <x v="6"/>
    <x v="58"/>
    <n v="6226.26"/>
    <s v="No"/>
    <x v="4"/>
    <n v="5"/>
    <n v="1"/>
    <n v="57"/>
    <s v="No"/>
    <n v="20"/>
    <x v="2"/>
    <n v="16"/>
    <s v="No"/>
    <m/>
    <x v="0"/>
    <x v="14"/>
  </r>
  <r>
    <x v="59"/>
    <s v="John Thomas"/>
    <x v="0"/>
    <n v="46"/>
    <x v="5"/>
    <x v="13"/>
    <x v="0"/>
    <x v="2"/>
    <x v="59"/>
    <x v="5"/>
    <x v="59"/>
    <n v="5813.48"/>
    <s v="Yes"/>
    <x v="0"/>
    <n v="3"/>
    <n v="5"/>
    <n v="74"/>
    <s v="No"/>
    <n v="11"/>
    <x v="1"/>
    <n v="19"/>
    <s v="No"/>
    <m/>
    <x v="0"/>
    <x v="9"/>
  </r>
  <r>
    <x v="60"/>
    <s v="Linda Sanchez"/>
    <x v="1"/>
    <n v="28"/>
    <x v="1"/>
    <x v="10"/>
    <x v="0"/>
    <x v="0"/>
    <x v="60"/>
    <x v="1"/>
    <x v="60"/>
    <n v="4101.43"/>
    <s v="No"/>
    <x v="3"/>
    <n v="3"/>
    <n v="4"/>
    <n v="40"/>
    <s v="No"/>
    <n v="12"/>
    <x v="2"/>
    <n v="15"/>
    <s v="Yes"/>
    <d v="2026-08-31T00:00:00"/>
    <x v="1"/>
    <x v="7"/>
  </r>
  <r>
    <x v="61"/>
    <s v="Mark Brown"/>
    <x v="0"/>
    <n v="44"/>
    <x v="1"/>
    <x v="10"/>
    <x v="1"/>
    <x v="1"/>
    <x v="61"/>
    <x v="0"/>
    <x v="61"/>
    <n v="6756.42"/>
    <s v="No"/>
    <x v="2"/>
    <n v="1"/>
    <n v="3"/>
    <n v="76"/>
    <s v="No"/>
    <n v="4"/>
    <x v="0"/>
    <n v="16"/>
    <s v="No"/>
    <m/>
    <x v="0"/>
    <x v="14"/>
  </r>
  <r>
    <x v="62"/>
    <s v="Jessica Ramirez"/>
    <x v="1"/>
    <n v="27"/>
    <x v="6"/>
    <x v="20"/>
    <x v="0"/>
    <x v="2"/>
    <x v="62"/>
    <x v="0"/>
    <x v="62"/>
    <n v="3423.73"/>
    <s v="No"/>
    <x v="4"/>
    <n v="5"/>
    <n v="5"/>
    <n v="3"/>
    <s v="No"/>
    <n v="22"/>
    <x v="0"/>
    <n v="8"/>
    <s v="Yes"/>
    <d v="2023-07-14T00:00:00"/>
    <x v="1"/>
    <x v="3"/>
  </r>
  <r>
    <x v="63"/>
    <s v="Nancy Lopez"/>
    <x v="1"/>
    <n v="21"/>
    <x v="0"/>
    <x v="0"/>
    <x v="1"/>
    <x v="2"/>
    <x v="63"/>
    <x v="5"/>
    <x v="63"/>
    <n v="5547.57"/>
    <s v="Yes"/>
    <x v="4"/>
    <n v="2"/>
    <n v="4"/>
    <n v="53"/>
    <s v="No"/>
    <n v="6"/>
    <x v="1"/>
    <n v="9"/>
    <s v="No"/>
    <m/>
    <x v="0"/>
    <x v="6"/>
  </r>
  <r>
    <x v="64"/>
    <s v="John Jones"/>
    <x v="0"/>
    <n v="31"/>
    <x v="1"/>
    <x v="1"/>
    <x v="1"/>
    <x v="2"/>
    <x v="64"/>
    <x v="1"/>
    <x v="64"/>
    <n v="5661.31"/>
    <s v="No"/>
    <x v="1"/>
    <n v="2"/>
    <n v="5"/>
    <n v="14"/>
    <s v="No"/>
    <n v="4"/>
    <x v="1"/>
    <n v="18"/>
    <s v="No"/>
    <m/>
    <x v="0"/>
    <x v="14"/>
  </r>
  <r>
    <x v="65"/>
    <s v="Patricia Davis"/>
    <x v="1"/>
    <n v="46"/>
    <x v="4"/>
    <x v="5"/>
    <x v="3"/>
    <x v="2"/>
    <x v="65"/>
    <x v="4"/>
    <x v="65"/>
    <n v="12238.56"/>
    <s v="Yes"/>
    <x v="3"/>
    <n v="1"/>
    <n v="4"/>
    <n v="55"/>
    <s v="Yes"/>
    <n v="13"/>
    <x v="0"/>
    <n v="7"/>
    <s v="No"/>
    <m/>
    <x v="0"/>
    <x v="4"/>
  </r>
  <r>
    <x v="66"/>
    <s v="Jennifer Gonzalez"/>
    <x v="1"/>
    <n v="23"/>
    <x v="5"/>
    <x v="13"/>
    <x v="0"/>
    <x v="0"/>
    <x v="66"/>
    <x v="12"/>
    <x v="66"/>
    <n v="7047.68"/>
    <s v="No"/>
    <x v="2"/>
    <n v="3"/>
    <n v="1"/>
    <n v="51"/>
    <s v="Yes"/>
    <n v="11"/>
    <x v="2"/>
    <n v="19"/>
    <s v="No"/>
    <m/>
    <x v="0"/>
    <x v="3"/>
  </r>
  <r>
    <x v="67"/>
    <s v="Jennifer Wilson"/>
    <x v="1"/>
    <n v="27"/>
    <x v="0"/>
    <x v="19"/>
    <x v="1"/>
    <x v="1"/>
    <x v="67"/>
    <x v="5"/>
    <x v="67"/>
    <n v="4267.2299999999996"/>
    <s v="No"/>
    <x v="1"/>
    <n v="2"/>
    <n v="1"/>
    <n v="65"/>
    <s v="No"/>
    <n v="17"/>
    <x v="0"/>
    <n v="6"/>
    <s v="No"/>
    <m/>
    <x v="0"/>
    <x v="2"/>
  </r>
  <r>
    <x v="68"/>
    <s v="Elizabeth Davis"/>
    <x v="1"/>
    <n v="27"/>
    <x v="0"/>
    <x v="11"/>
    <x v="0"/>
    <x v="1"/>
    <x v="68"/>
    <x v="11"/>
    <x v="68"/>
    <n v="9933.8799999999992"/>
    <s v="Yes"/>
    <x v="2"/>
    <n v="4"/>
    <n v="5"/>
    <n v="74"/>
    <s v="No"/>
    <n v="30"/>
    <x v="0"/>
    <n v="20"/>
    <s v="No"/>
    <m/>
    <x v="0"/>
    <x v="11"/>
  </r>
  <r>
    <x v="69"/>
    <s v="Nancy Jones"/>
    <x v="1"/>
    <n v="49"/>
    <x v="2"/>
    <x v="7"/>
    <x v="0"/>
    <x v="2"/>
    <x v="69"/>
    <x v="9"/>
    <x v="69"/>
    <n v="4440.1400000000003"/>
    <s v="Yes"/>
    <x v="2"/>
    <n v="4"/>
    <n v="1"/>
    <n v="7"/>
    <s v="No"/>
    <n v="10"/>
    <x v="2"/>
    <n v="20"/>
    <s v="No"/>
    <m/>
    <x v="0"/>
    <x v="4"/>
  </r>
  <r>
    <x v="70"/>
    <s v="Brian Martin"/>
    <x v="0"/>
    <n v="53"/>
    <x v="5"/>
    <x v="14"/>
    <x v="1"/>
    <x v="1"/>
    <x v="70"/>
    <x v="7"/>
    <x v="70"/>
    <n v="8391.49"/>
    <s v="No"/>
    <x v="1"/>
    <n v="5"/>
    <n v="4"/>
    <n v="64"/>
    <s v="Yes"/>
    <n v="2"/>
    <x v="1"/>
    <n v="3"/>
    <s v="No"/>
    <m/>
    <x v="0"/>
    <x v="4"/>
  </r>
  <r>
    <x v="71"/>
    <s v="Jennifer Taylor"/>
    <x v="1"/>
    <n v="32"/>
    <x v="2"/>
    <x v="23"/>
    <x v="1"/>
    <x v="2"/>
    <x v="71"/>
    <x v="13"/>
    <x v="71"/>
    <n v="2590.66"/>
    <s v="No"/>
    <x v="1"/>
    <n v="4"/>
    <n v="4"/>
    <n v="43"/>
    <s v="No"/>
    <n v="2"/>
    <x v="0"/>
    <n v="20"/>
    <s v="No"/>
    <m/>
    <x v="0"/>
    <x v="2"/>
  </r>
  <r>
    <x v="72"/>
    <s v="Joshua Perez"/>
    <x v="0"/>
    <n v="45"/>
    <x v="6"/>
    <x v="20"/>
    <x v="1"/>
    <x v="1"/>
    <x v="72"/>
    <x v="14"/>
    <x v="72"/>
    <n v="4705.79"/>
    <s v="No"/>
    <x v="0"/>
    <n v="3"/>
    <n v="3"/>
    <n v="50"/>
    <s v="Yes"/>
    <n v="23"/>
    <x v="2"/>
    <n v="9"/>
    <s v="No"/>
    <m/>
    <x v="0"/>
    <x v="14"/>
  </r>
  <r>
    <x v="73"/>
    <s v="Elizabeth Perez"/>
    <x v="1"/>
    <n v="54"/>
    <x v="2"/>
    <x v="7"/>
    <x v="1"/>
    <x v="0"/>
    <x v="73"/>
    <x v="2"/>
    <x v="73"/>
    <n v="7468.13"/>
    <s v="No"/>
    <x v="2"/>
    <n v="2"/>
    <n v="2"/>
    <n v="17"/>
    <s v="Yes"/>
    <n v="10"/>
    <x v="2"/>
    <n v="16"/>
    <s v="No"/>
    <m/>
    <x v="0"/>
    <x v="4"/>
  </r>
  <r>
    <x v="74"/>
    <s v="Daniel Lewis"/>
    <x v="0"/>
    <n v="60"/>
    <x v="0"/>
    <x v="19"/>
    <x v="0"/>
    <x v="0"/>
    <x v="74"/>
    <x v="3"/>
    <x v="74"/>
    <n v="4051.86"/>
    <s v="No"/>
    <x v="2"/>
    <n v="3"/>
    <n v="2"/>
    <n v="56"/>
    <s v="No"/>
    <n v="25"/>
    <x v="0"/>
    <n v="14"/>
    <s v="No"/>
    <m/>
    <x v="0"/>
    <x v="8"/>
  </r>
  <r>
    <x v="75"/>
    <s v="Ashley Lewis"/>
    <x v="1"/>
    <n v="33"/>
    <x v="6"/>
    <x v="15"/>
    <x v="0"/>
    <x v="2"/>
    <x v="75"/>
    <x v="2"/>
    <x v="75"/>
    <n v="4289.22"/>
    <s v="Yes"/>
    <x v="0"/>
    <n v="5"/>
    <n v="2"/>
    <n v="32"/>
    <s v="Yes"/>
    <n v="16"/>
    <x v="1"/>
    <n v="17"/>
    <s v="No"/>
    <m/>
    <x v="0"/>
    <x v="3"/>
  </r>
  <r>
    <x v="76"/>
    <s v="Charles Williams"/>
    <x v="0"/>
    <n v="31"/>
    <x v="6"/>
    <x v="15"/>
    <x v="4"/>
    <x v="0"/>
    <x v="76"/>
    <x v="1"/>
    <x v="76"/>
    <n v="5413.85"/>
    <s v="No"/>
    <x v="1"/>
    <n v="1"/>
    <n v="4"/>
    <n v="6"/>
    <s v="No"/>
    <n v="12"/>
    <x v="2"/>
    <n v="12"/>
    <s v="No"/>
    <m/>
    <x v="0"/>
    <x v="2"/>
  </r>
  <r>
    <x v="77"/>
    <s v="James Hernandez"/>
    <x v="0"/>
    <n v="27"/>
    <x v="1"/>
    <x v="4"/>
    <x v="1"/>
    <x v="0"/>
    <x v="77"/>
    <x v="7"/>
    <x v="77"/>
    <n v="6309.56"/>
    <s v="No"/>
    <x v="0"/>
    <n v="4"/>
    <n v="4"/>
    <n v="78"/>
    <s v="Yes"/>
    <n v="3"/>
    <x v="2"/>
    <n v="8"/>
    <s v="No"/>
    <m/>
    <x v="0"/>
    <x v="13"/>
  </r>
  <r>
    <x v="78"/>
    <s v="Linda Harris"/>
    <x v="1"/>
    <n v="39"/>
    <x v="0"/>
    <x v="11"/>
    <x v="0"/>
    <x v="0"/>
    <x v="78"/>
    <x v="1"/>
    <x v="78"/>
    <n v="8736.7199999999993"/>
    <s v="Yes"/>
    <x v="2"/>
    <n v="5"/>
    <n v="5"/>
    <n v="2"/>
    <s v="No"/>
    <n v="19"/>
    <x v="2"/>
    <n v="4"/>
    <s v="No"/>
    <m/>
    <x v="0"/>
    <x v="1"/>
  </r>
  <r>
    <x v="79"/>
    <s v="Jessica Jackson"/>
    <x v="1"/>
    <n v="47"/>
    <x v="0"/>
    <x v="16"/>
    <x v="1"/>
    <x v="2"/>
    <x v="79"/>
    <x v="5"/>
    <x v="79"/>
    <n v="9705.57"/>
    <s v="No"/>
    <x v="4"/>
    <n v="5"/>
    <n v="1"/>
    <n v="49"/>
    <s v="No"/>
    <n v="2"/>
    <x v="0"/>
    <n v="12"/>
    <s v="No"/>
    <m/>
    <x v="0"/>
    <x v="12"/>
  </r>
  <r>
    <x v="80"/>
    <s v="Matthew Sanchez"/>
    <x v="0"/>
    <n v="25"/>
    <x v="6"/>
    <x v="24"/>
    <x v="1"/>
    <x v="1"/>
    <x v="80"/>
    <x v="6"/>
    <x v="80"/>
    <n v="8057.56"/>
    <s v="No"/>
    <x v="3"/>
    <n v="3"/>
    <n v="5"/>
    <n v="43"/>
    <s v="No"/>
    <n v="6"/>
    <x v="0"/>
    <n v="14"/>
    <s v="No"/>
    <m/>
    <x v="0"/>
    <x v="9"/>
  </r>
  <r>
    <x v="81"/>
    <s v="William Williams"/>
    <x v="0"/>
    <n v="50"/>
    <x v="2"/>
    <x v="2"/>
    <x v="0"/>
    <x v="0"/>
    <x v="81"/>
    <x v="7"/>
    <x v="81"/>
    <n v="3157.69"/>
    <s v="No"/>
    <x v="4"/>
    <n v="4"/>
    <n v="3"/>
    <n v="4"/>
    <s v="No"/>
    <n v="7"/>
    <x v="1"/>
    <n v="11"/>
    <s v="No"/>
    <m/>
    <x v="0"/>
    <x v="1"/>
  </r>
  <r>
    <x v="82"/>
    <s v="Sarah Brown"/>
    <x v="1"/>
    <n v="44"/>
    <x v="5"/>
    <x v="14"/>
    <x v="1"/>
    <x v="2"/>
    <x v="82"/>
    <x v="12"/>
    <x v="82"/>
    <n v="8317.41"/>
    <s v="No"/>
    <x v="4"/>
    <n v="3"/>
    <n v="1"/>
    <n v="54"/>
    <s v="Yes"/>
    <n v="20"/>
    <x v="2"/>
    <n v="17"/>
    <s v="No"/>
    <m/>
    <x v="0"/>
    <x v="7"/>
  </r>
  <r>
    <x v="83"/>
    <s v="Daniel Perez"/>
    <x v="0"/>
    <n v="39"/>
    <x v="6"/>
    <x v="15"/>
    <x v="1"/>
    <x v="2"/>
    <x v="83"/>
    <x v="11"/>
    <x v="83"/>
    <n v="4338.8599999999997"/>
    <s v="Yes"/>
    <x v="1"/>
    <n v="5"/>
    <n v="4"/>
    <n v="35"/>
    <s v="No"/>
    <n v="26"/>
    <x v="2"/>
    <n v="2"/>
    <s v="No"/>
    <m/>
    <x v="0"/>
    <x v="0"/>
  </r>
  <r>
    <x v="84"/>
    <s v="Kimberly Sanchez"/>
    <x v="1"/>
    <n v="31"/>
    <x v="2"/>
    <x v="23"/>
    <x v="2"/>
    <x v="1"/>
    <x v="84"/>
    <x v="1"/>
    <x v="84"/>
    <n v="1060.92"/>
    <s v="No"/>
    <x v="1"/>
    <n v="3"/>
    <n v="4"/>
    <n v="72"/>
    <s v="Yes"/>
    <n v="5"/>
    <x v="0"/>
    <n v="14"/>
    <s v="No"/>
    <m/>
    <x v="0"/>
    <x v="2"/>
  </r>
  <r>
    <x v="85"/>
    <s v="Jennifer Jackson"/>
    <x v="1"/>
    <n v="29"/>
    <x v="4"/>
    <x v="21"/>
    <x v="0"/>
    <x v="1"/>
    <x v="85"/>
    <x v="9"/>
    <x v="85"/>
    <n v="2214.19"/>
    <s v="No"/>
    <x v="2"/>
    <n v="5"/>
    <n v="4"/>
    <n v="71"/>
    <s v="Yes"/>
    <n v="25"/>
    <x v="1"/>
    <n v="14"/>
    <s v="No"/>
    <m/>
    <x v="0"/>
    <x v="11"/>
  </r>
  <r>
    <x v="86"/>
    <s v="Ashley Miller"/>
    <x v="1"/>
    <n v="28"/>
    <x v="0"/>
    <x v="16"/>
    <x v="0"/>
    <x v="1"/>
    <x v="86"/>
    <x v="1"/>
    <x v="86"/>
    <n v="13768.03"/>
    <s v="No"/>
    <x v="1"/>
    <n v="3"/>
    <n v="1"/>
    <n v="70"/>
    <s v="No"/>
    <n v="29"/>
    <x v="1"/>
    <n v="5"/>
    <s v="No"/>
    <m/>
    <x v="0"/>
    <x v="10"/>
  </r>
  <r>
    <x v="87"/>
    <s v="Matthew Taylor"/>
    <x v="0"/>
    <n v="35"/>
    <x v="2"/>
    <x v="23"/>
    <x v="1"/>
    <x v="0"/>
    <x v="87"/>
    <x v="13"/>
    <x v="87"/>
    <n v="3353.83"/>
    <s v="No"/>
    <x v="4"/>
    <n v="2"/>
    <n v="5"/>
    <n v="11"/>
    <s v="Yes"/>
    <n v="13"/>
    <x v="0"/>
    <n v="15"/>
    <s v="No"/>
    <m/>
    <x v="0"/>
    <x v="6"/>
  </r>
  <r>
    <x v="88"/>
    <s v="Donna Williams"/>
    <x v="1"/>
    <n v="29"/>
    <x v="6"/>
    <x v="17"/>
    <x v="0"/>
    <x v="1"/>
    <x v="88"/>
    <x v="13"/>
    <x v="88"/>
    <n v="6774.23"/>
    <s v="No"/>
    <x v="4"/>
    <n v="2"/>
    <n v="2"/>
    <n v="55"/>
    <s v="No"/>
    <n v="28"/>
    <x v="2"/>
    <n v="3"/>
    <s v="No"/>
    <m/>
    <x v="0"/>
    <x v="12"/>
  </r>
  <r>
    <x v="89"/>
    <s v="David Hernandez"/>
    <x v="0"/>
    <n v="35"/>
    <x v="6"/>
    <x v="20"/>
    <x v="2"/>
    <x v="2"/>
    <x v="89"/>
    <x v="4"/>
    <x v="89"/>
    <n v="5824.3"/>
    <s v="Yes"/>
    <x v="1"/>
    <n v="5"/>
    <n v="5"/>
    <n v="11"/>
    <s v="No"/>
    <n v="6"/>
    <x v="0"/>
    <n v="18"/>
    <s v="Yes"/>
    <d v="2025-09-11T00:00:00"/>
    <x v="1"/>
    <x v="11"/>
  </r>
  <r>
    <x v="90"/>
    <s v="Donna Johnson"/>
    <x v="1"/>
    <n v="22"/>
    <x v="2"/>
    <x v="25"/>
    <x v="4"/>
    <x v="1"/>
    <x v="90"/>
    <x v="10"/>
    <x v="90"/>
    <n v="8476.5499999999993"/>
    <s v="No"/>
    <x v="3"/>
    <n v="4"/>
    <n v="5"/>
    <n v="37"/>
    <s v="No"/>
    <n v="10"/>
    <x v="1"/>
    <n v="7"/>
    <s v="No"/>
    <m/>
    <x v="0"/>
    <x v="14"/>
  </r>
  <r>
    <x v="91"/>
    <s v="Karen Anderson"/>
    <x v="1"/>
    <n v="25"/>
    <x v="3"/>
    <x v="22"/>
    <x v="0"/>
    <x v="2"/>
    <x v="91"/>
    <x v="8"/>
    <x v="91"/>
    <n v="3888.46"/>
    <s v="Yes"/>
    <x v="1"/>
    <n v="3"/>
    <n v="4"/>
    <n v="16"/>
    <s v="No"/>
    <n v="17"/>
    <x v="0"/>
    <n v="3"/>
    <s v="No"/>
    <m/>
    <x v="0"/>
    <x v="9"/>
  </r>
  <r>
    <x v="92"/>
    <s v="Thomas Anderson"/>
    <x v="0"/>
    <n v="36"/>
    <x v="0"/>
    <x v="16"/>
    <x v="3"/>
    <x v="2"/>
    <x v="92"/>
    <x v="14"/>
    <x v="92"/>
    <n v="10476.69"/>
    <s v="No"/>
    <x v="1"/>
    <n v="5"/>
    <n v="3"/>
    <n v="24"/>
    <s v="No"/>
    <n v="16"/>
    <x v="0"/>
    <n v="14"/>
    <s v="No"/>
    <m/>
    <x v="0"/>
    <x v="12"/>
  </r>
  <r>
    <x v="93"/>
    <s v="Mary Williams"/>
    <x v="1"/>
    <n v="46"/>
    <x v="4"/>
    <x v="26"/>
    <x v="4"/>
    <x v="0"/>
    <x v="93"/>
    <x v="14"/>
    <x v="93"/>
    <n v="1898.9"/>
    <s v="No"/>
    <x v="2"/>
    <n v="3"/>
    <n v="5"/>
    <n v="1"/>
    <s v="No"/>
    <n v="14"/>
    <x v="2"/>
    <n v="8"/>
    <s v="No"/>
    <m/>
    <x v="0"/>
    <x v="6"/>
  </r>
  <r>
    <x v="94"/>
    <s v="Lisa Johnson"/>
    <x v="1"/>
    <n v="46"/>
    <x v="2"/>
    <x v="23"/>
    <x v="0"/>
    <x v="2"/>
    <x v="59"/>
    <x v="5"/>
    <x v="94"/>
    <n v="4418.1499999999996"/>
    <s v="No"/>
    <x v="4"/>
    <n v="5"/>
    <n v="1"/>
    <n v="16"/>
    <s v="No"/>
    <n v="13"/>
    <x v="1"/>
    <n v="10"/>
    <s v="No"/>
    <m/>
    <x v="0"/>
    <x v="2"/>
  </r>
  <r>
    <x v="95"/>
    <s v="Richard Martin"/>
    <x v="0"/>
    <n v="53"/>
    <x v="5"/>
    <x v="13"/>
    <x v="3"/>
    <x v="0"/>
    <x v="94"/>
    <x v="12"/>
    <x v="95"/>
    <n v="7721.99"/>
    <s v="Yes"/>
    <x v="4"/>
    <n v="2"/>
    <n v="3"/>
    <n v="78"/>
    <s v="No"/>
    <n v="13"/>
    <x v="0"/>
    <n v="9"/>
    <s v="No"/>
    <m/>
    <x v="0"/>
    <x v="5"/>
  </r>
  <r>
    <x v="96"/>
    <s v="Donna Martinez"/>
    <x v="1"/>
    <n v="51"/>
    <x v="1"/>
    <x v="1"/>
    <x v="0"/>
    <x v="1"/>
    <x v="95"/>
    <x v="6"/>
    <x v="96"/>
    <n v="8053.54"/>
    <s v="No"/>
    <x v="3"/>
    <n v="5"/>
    <n v="4"/>
    <n v="33"/>
    <s v="No"/>
    <n v="26"/>
    <x v="0"/>
    <n v="18"/>
    <s v="No"/>
    <m/>
    <x v="0"/>
    <x v="1"/>
  </r>
  <r>
    <x v="97"/>
    <s v="Barbara Taylor"/>
    <x v="1"/>
    <n v="60"/>
    <x v="1"/>
    <x v="12"/>
    <x v="0"/>
    <x v="1"/>
    <x v="96"/>
    <x v="10"/>
    <x v="97"/>
    <n v="5240.4799999999996"/>
    <s v="Yes"/>
    <x v="3"/>
    <n v="4"/>
    <n v="3"/>
    <n v="53"/>
    <s v="Yes"/>
    <n v="23"/>
    <x v="2"/>
    <n v="13"/>
    <s v="No"/>
    <m/>
    <x v="0"/>
    <x v="11"/>
  </r>
  <r>
    <x v="98"/>
    <s v="Patricia Thompson"/>
    <x v="1"/>
    <n v="29"/>
    <x v="4"/>
    <x v="6"/>
    <x v="1"/>
    <x v="1"/>
    <x v="97"/>
    <x v="8"/>
    <x v="98"/>
    <n v="5131.1499999999996"/>
    <s v="Yes"/>
    <x v="4"/>
    <n v="3"/>
    <n v="5"/>
    <n v="45"/>
    <s v="No"/>
    <n v="28"/>
    <x v="0"/>
    <n v="20"/>
    <s v="No"/>
    <m/>
    <x v="0"/>
    <x v="12"/>
  </r>
  <r>
    <x v="99"/>
    <s v="Susan Davis"/>
    <x v="1"/>
    <n v="38"/>
    <x v="4"/>
    <x v="21"/>
    <x v="0"/>
    <x v="2"/>
    <x v="98"/>
    <x v="9"/>
    <x v="99"/>
    <n v="10739.12"/>
    <s v="No"/>
    <x v="2"/>
    <n v="3"/>
    <n v="5"/>
    <n v="35"/>
    <s v="No"/>
    <n v="19"/>
    <x v="0"/>
    <n v="17"/>
    <s v="No"/>
    <m/>
    <x v="0"/>
    <x v="0"/>
  </r>
  <r>
    <x v="100"/>
    <s v="Elizabeth Martinez"/>
    <x v="1"/>
    <n v="23"/>
    <x v="6"/>
    <x v="17"/>
    <x v="0"/>
    <x v="2"/>
    <x v="99"/>
    <x v="3"/>
    <x v="100"/>
    <n v="3829.32"/>
    <s v="Yes"/>
    <x v="4"/>
    <n v="3"/>
    <n v="5"/>
    <n v="34"/>
    <s v="Yes"/>
    <n v="20"/>
    <x v="0"/>
    <n v="18"/>
    <s v="No"/>
    <m/>
    <x v="0"/>
    <x v="1"/>
  </r>
  <r>
    <x v="101"/>
    <s v="Joseph Johnson"/>
    <x v="0"/>
    <n v="27"/>
    <x v="5"/>
    <x v="9"/>
    <x v="1"/>
    <x v="0"/>
    <x v="100"/>
    <x v="11"/>
    <x v="101"/>
    <n v="3690.29"/>
    <s v="No"/>
    <x v="2"/>
    <n v="4"/>
    <n v="4"/>
    <n v="25"/>
    <s v="No"/>
    <n v="10"/>
    <x v="1"/>
    <n v="9"/>
    <s v="No"/>
    <m/>
    <x v="0"/>
    <x v="10"/>
  </r>
  <r>
    <x v="102"/>
    <s v="Kevin Davis"/>
    <x v="0"/>
    <n v="55"/>
    <x v="3"/>
    <x v="22"/>
    <x v="4"/>
    <x v="0"/>
    <x v="101"/>
    <x v="1"/>
    <x v="102"/>
    <n v="3579.19"/>
    <s v="No"/>
    <x v="2"/>
    <n v="4"/>
    <n v="2"/>
    <n v="37"/>
    <s v="No"/>
    <n v="1"/>
    <x v="1"/>
    <n v="18"/>
    <s v="No"/>
    <m/>
    <x v="0"/>
    <x v="10"/>
  </r>
  <r>
    <x v="103"/>
    <s v="Karen Anderson"/>
    <x v="1"/>
    <n v="55"/>
    <x v="4"/>
    <x v="26"/>
    <x v="2"/>
    <x v="0"/>
    <x v="102"/>
    <x v="13"/>
    <x v="103"/>
    <n v="3609.82"/>
    <s v="Yes"/>
    <x v="0"/>
    <n v="4"/>
    <n v="3"/>
    <n v="23"/>
    <s v="Yes"/>
    <n v="11"/>
    <x v="1"/>
    <n v="18"/>
    <s v="No"/>
    <m/>
    <x v="0"/>
    <x v="8"/>
  </r>
  <r>
    <x v="104"/>
    <s v="Brian Ramirez"/>
    <x v="0"/>
    <n v="46"/>
    <x v="1"/>
    <x v="12"/>
    <x v="1"/>
    <x v="0"/>
    <x v="103"/>
    <x v="2"/>
    <x v="104"/>
    <n v="3013.84"/>
    <s v="Yes"/>
    <x v="1"/>
    <n v="2"/>
    <n v="1"/>
    <n v="33"/>
    <s v="No"/>
    <n v="15"/>
    <x v="1"/>
    <n v="10"/>
    <s v="No"/>
    <m/>
    <x v="0"/>
    <x v="3"/>
  </r>
  <r>
    <x v="105"/>
    <s v="Thomas Lee"/>
    <x v="0"/>
    <n v="44"/>
    <x v="3"/>
    <x v="18"/>
    <x v="3"/>
    <x v="0"/>
    <x v="104"/>
    <x v="8"/>
    <x v="105"/>
    <n v="3771.48"/>
    <s v="No"/>
    <x v="1"/>
    <n v="1"/>
    <n v="3"/>
    <n v="47"/>
    <s v="No"/>
    <n v="8"/>
    <x v="2"/>
    <n v="15"/>
    <s v="Yes"/>
    <d v="2026-03-12T00:00:00"/>
    <x v="1"/>
    <x v="11"/>
  </r>
  <r>
    <x v="106"/>
    <s v="Betty Thompson"/>
    <x v="1"/>
    <n v="56"/>
    <x v="5"/>
    <x v="8"/>
    <x v="1"/>
    <x v="1"/>
    <x v="105"/>
    <x v="14"/>
    <x v="106"/>
    <n v="2831.06"/>
    <s v="No"/>
    <x v="1"/>
    <n v="1"/>
    <n v="5"/>
    <n v="14"/>
    <s v="Yes"/>
    <n v="18"/>
    <x v="0"/>
    <n v="6"/>
    <s v="No"/>
    <m/>
    <x v="0"/>
    <x v="13"/>
  </r>
  <r>
    <x v="107"/>
    <s v="Daniel Ramirez"/>
    <x v="0"/>
    <n v="54"/>
    <x v="5"/>
    <x v="13"/>
    <x v="1"/>
    <x v="1"/>
    <x v="106"/>
    <x v="14"/>
    <x v="107"/>
    <n v="9488.16"/>
    <s v="No"/>
    <x v="3"/>
    <n v="4"/>
    <n v="2"/>
    <n v="65"/>
    <s v="No"/>
    <n v="19"/>
    <x v="2"/>
    <n v="17"/>
    <s v="No"/>
    <m/>
    <x v="0"/>
    <x v="6"/>
  </r>
  <r>
    <x v="108"/>
    <s v="Mary Gonzalez"/>
    <x v="1"/>
    <n v="37"/>
    <x v="1"/>
    <x v="1"/>
    <x v="1"/>
    <x v="1"/>
    <x v="107"/>
    <x v="5"/>
    <x v="108"/>
    <n v="2414.3200000000002"/>
    <s v="Yes"/>
    <x v="3"/>
    <n v="1"/>
    <n v="4"/>
    <n v="4"/>
    <s v="No"/>
    <n v="6"/>
    <x v="2"/>
    <n v="20"/>
    <s v="No"/>
    <m/>
    <x v="0"/>
    <x v="14"/>
  </r>
  <r>
    <x v="109"/>
    <s v="Lisa Lewis"/>
    <x v="1"/>
    <n v="45"/>
    <x v="5"/>
    <x v="14"/>
    <x v="0"/>
    <x v="1"/>
    <x v="108"/>
    <x v="3"/>
    <x v="109"/>
    <n v="3448.2"/>
    <s v="No"/>
    <x v="3"/>
    <n v="2"/>
    <n v="5"/>
    <n v="50"/>
    <s v="No"/>
    <n v="24"/>
    <x v="2"/>
    <n v="0"/>
    <s v="No"/>
    <m/>
    <x v="0"/>
    <x v="12"/>
  </r>
  <r>
    <x v="110"/>
    <s v="Emily Wilson"/>
    <x v="1"/>
    <n v="55"/>
    <x v="5"/>
    <x v="8"/>
    <x v="0"/>
    <x v="2"/>
    <x v="109"/>
    <x v="11"/>
    <x v="110"/>
    <n v="8020.81"/>
    <s v="No"/>
    <x v="3"/>
    <n v="1"/>
    <n v="4"/>
    <n v="78"/>
    <s v="No"/>
    <n v="29"/>
    <x v="2"/>
    <n v="7"/>
    <s v="No"/>
    <m/>
    <x v="0"/>
    <x v="7"/>
  </r>
  <r>
    <x v="111"/>
    <s v="Steven Martin"/>
    <x v="0"/>
    <n v="24"/>
    <x v="0"/>
    <x v="16"/>
    <x v="0"/>
    <x v="0"/>
    <x v="110"/>
    <x v="0"/>
    <x v="111"/>
    <n v="7821.02"/>
    <s v="Yes"/>
    <x v="4"/>
    <n v="3"/>
    <n v="2"/>
    <n v="73"/>
    <s v="No"/>
    <n v="20"/>
    <x v="0"/>
    <n v="10"/>
    <s v="No"/>
    <m/>
    <x v="0"/>
    <x v="10"/>
  </r>
  <r>
    <x v="112"/>
    <s v="Andrew Davis"/>
    <x v="0"/>
    <n v="47"/>
    <x v="6"/>
    <x v="20"/>
    <x v="3"/>
    <x v="1"/>
    <x v="111"/>
    <x v="11"/>
    <x v="112"/>
    <n v="4771.59"/>
    <s v="No"/>
    <x v="1"/>
    <n v="4"/>
    <n v="5"/>
    <n v="40"/>
    <s v="No"/>
    <n v="14"/>
    <x v="2"/>
    <n v="9"/>
    <s v="No"/>
    <m/>
    <x v="0"/>
    <x v="6"/>
  </r>
  <r>
    <x v="113"/>
    <s v="Jessica Ramirez"/>
    <x v="1"/>
    <n v="35"/>
    <x v="6"/>
    <x v="24"/>
    <x v="2"/>
    <x v="0"/>
    <x v="112"/>
    <x v="0"/>
    <x v="113"/>
    <n v="3972.04"/>
    <s v="No"/>
    <x v="2"/>
    <n v="2"/>
    <n v="3"/>
    <n v="26"/>
    <s v="No"/>
    <n v="3"/>
    <x v="1"/>
    <n v="11"/>
    <s v="Yes"/>
    <d v="2026-01-23T00:00:00"/>
    <x v="1"/>
    <x v="4"/>
  </r>
  <r>
    <x v="114"/>
    <s v="John Rodriguez"/>
    <x v="0"/>
    <n v="45"/>
    <x v="3"/>
    <x v="22"/>
    <x v="2"/>
    <x v="0"/>
    <x v="113"/>
    <x v="14"/>
    <x v="114"/>
    <n v="6933.67"/>
    <s v="No"/>
    <x v="1"/>
    <n v="3"/>
    <n v="1"/>
    <n v="27"/>
    <s v="No"/>
    <n v="24"/>
    <x v="2"/>
    <n v="15"/>
    <s v="No"/>
    <m/>
    <x v="0"/>
    <x v="3"/>
  </r>
  <r>
    <x v="115"/>
    <s v="Anthony Robinson"/>
    <x v="0"/>
    <n v="36"/>
    <x v="4"/>
    <x v="21"/>
    <x v="1"/>
    <x v="2"/>
    <x v="114"/>
    <x v="8"/>
    <x v="115"/>
    <n v="5671.4"/>
    <s v="Yes"/>
    <x v="4"/>
    <n v="4"/>
    <n v="4"/>
    <n v="12"/>
    <s v="No"/>
    <n v="24"/>
    <x v="1"/>
    <n v="10"/>
    <s v="No"/>
    <m/>
    <x v="0"/>
    <x v="2"/>
  </r>
  <r>
    <x v="116"/>
    <s v="Betty Johnson"/>
    <x v="1"/>
    <n v="57"/>
    <x v="1"/>
    <x v="10"/>
    <x v="1"/>
    <x v="0"/>
    <x v="115"/>
    <x v="10"/>
    <x v="116"/>
    <n v="6011.14"/>
    <s v="No"/>
    <x v="1"/>
    <n v="2"/>
    <n v="2"/>
    <n v="42"/>
    <s v="Yes"/>
    <n v="19"/>
    <x v="2"/>
    <n v="15"/>
    <s v="No"/>
    <m/>
    <x v="0"/>
    <x v="14"/>
  </r>
  <r>
    <x v="117"/>
    <s v="Sarah Harris"/>
    <x v="1"/>
    <n v="52"/>
    <x v="3"/>
    <x v="27"/>
    <x v="0"/>
    <x v="1"/>
    <x v="116"/>
    <x v="12"/>
    <x v="117"/>
    <n v="5035.38"/>
    <s v="No"/>
    <x v="4"/>
    <n v="1"/>
    <n v="5"/>
    <n v="4"/>
    <s v="No"/>
    <n v="3"/>
    <x v="0"/>
    <n v="1"/>
    <s v="No"/>
    <m/>
    <x v="0"/>
    <x v="0"/>
  </r>
  <r>
    <x v="118"/>
    <s v="Joseph Williams"/>
    <x v="0"/>
    <n v="30"/>
    <x v="2"/>
    <x v="23"/>
    <x v="1"/>
    <x v="2"/>
    <x v="117"/>
    <x v="5"/>
    <x v="118"/>
    <n v="7358.76"/>
    <s v="No"/>
    <x v="2"/>
    <n v="4"/>
    <n v="1"/>
    <n v="0"/>
    <s v="No"/>
    <n v="14"/>
    <x v="2"/>
    <n v="0"/>
    <s v="No"/>
    <m/>
    <x v="0"/>
    <x v="12"/>
  </r>
  <r>
    <x v="119"/>
    <s v="Mary Taylor"/>
    <x v="1"/>
    <n v="48"/>
    <x v="1"/>
    <x v="10"/>
    <x v="0"/>
    <x v="0"/>
    <x v="118"/>
    <x v="13"/>
    <x v="119"/>
    <n v="1907.95"/>
    <s v="No"/>
    <x v="1"/>
    <n v="3"/>
    <n v="4"/>
    <n v="10"/>
    <s v="No"/>
    <n v="13"/>
    <x v="1"/>
    <n v="18"/>
    <s v="No"/>
    <m/>
    <x v="0"/>
    <x v="3"/>
  </r>
  <r>
    <x v="120"/>
    <s v="Charles Perez"/>
    <x v="0"/>
    <n v="26"/>
    <x v="3"/>
    <x v="22"/>
    <x v="3"/>
    <x v="2"/>
    <x v="119"/>
    <x v="2"/>
    <x v="120"/>
    <n v="1785.05"/>
    <s v="Yes"/>
    <x v="0"/>
    <n v="1"/>
    <n v="4"/>
    <n v="55"/>
    <s v="No"/>
    <n v="11"/>
    <x v="0"/>
    <n v="3"/>
    <s v="No"/>
    <m/>
    <x v="0"/>
    <x v="10"/>
  </r>
  <r>
    <x v="121"/>
    <s v="Joseph Miller"/>
    <x v="0"/>
    <n v="57"/>
    <x v="5"/>
    <x v="9"/>
    <x v="3"/>
    <x v="0"/>
    <x v="120"/>
    <x v="9"/>
    <x v="121"/>
    <n v="8762.24"/>
    <s v="Yes"/>
    <x v="1"/>
    <n v="1"/>
    <n v="2"/>
    <n v="75"/>
    <s v="Yes"/>
    <n v="27"/>
    <x v="0"/>
    <n v="12"/>
    <s v="No"/>
    <m/>
    <x v="0"/>
    <x v="12"/>
  </r>
  <r>
    <x v="122"/>
    <s v="Kevin Davis"/>
    <x v="0"/>
    <n v="57"/>
    <x v="1"/>
    <x v="12"/>
    <x v="1"/>
    <x v="1"/>
    <x v="121"/>
    <x v="12"/>
    <x v="122"/>
    <n v="6295.35"/>
    <s v="No"/>
    <x v="3"/>
    <n v="5"/>
    <n v="3"/>
    <n v="6"/>
    <s v="Yes"/>
    <n v="8"/>
    <x v="2"/>
    <n v="10"/>
    <s v="No"/>
    <m/>
    <x v="0"/>
    <x v="11"/>
  </r>
  <r>
    <x v="123"/>
    <s v="Nancy Smith"/>
    <x v="1"/>
    <n v="38"/>
    <x v="1"/>
    <x v="12"/>
    <x v="0"/>
    <x v="2"/>
    <x v="122"/>
    <x v="0"/>
    <x v="123"/>
    <n v="6247.85"/>
    <s v="No"/>
    <x v="2"/>
    <n v="1"/>
    <n v="5"/>
    <n v="37"/>
    <s v="No"/>
    <n v="23"/>
    <x v="2"/>
    <n v="2"/>
    <s v="No"/>
    <m/>
    <x v="0"/>
    <x v="0"/>
  </r>
  <r>
    <x v="124"/>
    <s v="Anthony Hernandez"/>
    <x v="0"/>
    <n v="44"/>
    <x v="2"/>
    <x v="25"/>
    <x v="3"/>
    <x v="2"/>
    <x v="123"/>
    <x v="1"/>
    <x v="124"/>
    <n v="3017.57"/>
    <s v="Yes"/>
    <x v="0"/>
    <n v="4"/>
    <n v="4"/>
    <n v="71"/>
    <s v="No"/>
    <n v="14"/>
    <x v="2"/>
    <n v="0"/>
    <s v="Yes"/>
    <d v="2025-02-09T00:00:00"/>
    <x v="1"/>
    <x v="7"/>
  </r>
  <r>
    <x v="125"/>
    <s v="Margaret Smith"/>
    <x v="1"/>
    <n v="39"/>
    <x v="5"/>
    <x v="14"/>
    <x v="1"/>
    <x v="1"/>
    <x v="124"/>
    <x v="0"/>
    <x v="125"/>
    <n v="13879.26"/>
    <s v="No"/>
    <x v="0"/>
    <n v="4"/>
    <n v="2"/>
    <n v="17"/>
    <s v="No"/>
    <n v="9"/>
    <x v="1"/>
    <n v="4"/>
    <s v="Yes"/>
    <d v="2024-06-09T00:00:00"/>
    <x v="1"/>
    <x v="12"/>
  </r>
  <r>
    <x v="126"/>
    <s v="Karen Thomas"/>
    <x v="1"/>
    <n v="25"/>
    <x v="6"/>
    <x v="20"/>
    <x v="4"/>
    <x v="1"/>
    <x v="125"/>
    <x v="3"/>
    <x v="126"/>
    <n v="5740.68"/>
    <s v="No"/>
    <x v="0"/>
    <n v="3"/>
    <n v="1"/>
    <n v="50"/>
    <s v="No"/>
    <n v="20"/>
    <x v="1"/>
    <n v="10"/>
    <s v="No"/>
    <m/>
    <x v="0"/>
    <x v="0"/>
  </r>
  <r>
    <x v="127"/>
    <s v="Charles Hernandez"/>
    <x v="0"/>
    <n v="59"/>
    <x v="3"/>
    <x v="18"/>
    <x v="0"/>
    <x v="0"/>
    <x v="126"/>
    <x v="2"/>
    <x v="127"/>
    <n v="5110.37"/>
    <s v="No"/>
    <x v="2"/>
    <n v="5"/>
    <n v="2"/>
    <n v="41"/>
    <s v="No"/>
    <n v="27"/>
    <x v="1"/>
    <n v="11"/>
    <s v="Yes"/>
    <d v="2025-02-28T00:00:00"/>
    <x v="1"/>
    <x v="8"/>
  </r>
  <r>
    <x v="128"/>
    <s v="Joshua Smith"/>
    <x v="0"/>
    <n v="50"/>
    <x v="3"/>
    <x v="18"/>
    <x v="0"/>
    <x v="2"/>
    <x v="127"/>
    <x v="5"/>
    <x v="128"/>
    <n v="9880.15"/>
    <s v="No"/>
    <x v="2"/>
    <n v="2"/>
    <n v="3"/>
    <n v="30"/>
    <s v="No"/>
    <n v="5"/>
    <x v="0"/>
    <n v="13"/>
    <s v="No"/>
    <m/>
    <x v="0"/>
    <x v="7"/>
  </r>
  <r>
    <x v="129"/>
    <s v="Michelle Thomas"/>
    <x v="1"/>
    <n v="58"/>
    <x v="5"/>
    <x v="14"/>
    <x v="1"/>
    <x v="2"/>
    <x v="128"/>
    <x v="0"/>
    <x v="129"/>
    <n v="10502.79"/>
    <s v="Yes"/>
    <x v="0"/>
    <n v="3"/>
    <n v="2"/>
    <n v="78"/>
    <s v="Yes"/>
    <n v="21"/>
    <x v="0"/>
    <n v="20"/>
    <s v="No"/>
    <m/>
    <x v="0"/>
    <x v="6"/>
  </r>
  <r>
    <x v="130"/>
    <s v="Betty Brown"/>
    <x v="1"/>
    <n v="21"/>
    <x v="2"/>
    <x v="2"/>
    <x v="0"/>
    <x v="1"/>
    <x v="129"/>
    <x v="13"/>
    <x v="130"/>
    <n v="7186.21"/>
    <s v="Yes"/>
    <x v="1"/>
    <n v="4"/>
    <n v="4"/>
    <n v="75"/>
    <s v="No"/>
    <n v="5"/>
    <x v="1"/>
    <n v="0"/>
    <s v="No"/>
    <m/>
    <x v="0"/>
    <x v="12"/>
  </r>
  <r>
    <x v="131"/>
    <s v="Jennifer Brown"/>
    <x v="1"/>
    <n v="30"/>
    <x v="6"/>
    <x v="20"/>
    <x v="0"/>
    <x v="0"/>
    <x v="130"/>
    <x v="13"/>
    <x v="131"/>
    <n v="4646.3900000000003"/>
    <s v="No"/>
    <x v="2"/>
    <n v="3"/>
    <n v="1"/>
    <n v="38"/>
    <s v="Yes"/>
    <n v="23"/>
    <x v="2"/>
    <n v="0"/>
    <s v="No"/>
    <m/>
    <x v="0"/>
    <x v="14"/>
  </r>
  <r>
    <x v="132"/>
    <s v="David Robinson"/>
    <x v="0"/>
    <n v="36"/>
    <x v="4"/>
    <x v="6"/>
    <x v="1"/>
    <x v="2"/>
    <x v="131"/>
    <x v="0"/>
    <x v="132"/>
    <n v="6163.38"/>
    <s v="No"/>
    <x v="0"/>
    <n v="2"/>
    <n v="4"/>
    <n v="50"/>
    <s v="Yes"/>
    <n v="20"/>
    <x v="2"/>
    <n v="14"/>
    <s v="No"/>
    <m/>
    <x v="0"/>
    <x v="0"/>
  </r>
  <r>
    <x v="133"/>
    <s v="Richard Miller"/>
    <x v="0"/>
    <n v="38"/>
    <x v="1"/>
    <x v="1"/>
    <x v="1"/>
    <x v="1"/>
    <x v="132"/>
    <x v="4"/>
    <x v="133"/>
    <n v="2431.06"/>
    <s v="Yes"/>
    <x v="2"/>
    <n v="5"/>
    <n v="3"/>
    <n v="76"/>
    <s v="No"/>
    <n v="13"/>
    <x v="0"/>
    <n v="3"/>
    <s v="No"/>
    <m/>
    <x v="0"/>
    <x v="4"/>
  </r>
  <r>
    <x v="134"/>
    <s v="Michelle Garcia"/>
    <x v="1"/>
    <n v="40"/>
    <x v="4"/>
    <x v="5"/>
    <x v="1"/>
    <x v="2"/>
    <x v="133"/>
    <x v="6"/>
    <x v="134"/>
    <n v="2214.04"/>
    <s v="No"/>
    <x v="0"/>
    <n v="5"/>
    <n v="4"/>
    <n v="53"/>
    <s v="No"/>
    <n v="19"/>
    <x v="1"/>
    <n v="13"/>
    <s v="No"/>
    <m/>
    <x v="0"/>
    <x v="14"/>
  </r>
  <r>
    <x v="135"/>
    <s v="Joshua Garcia"/>
    <x v="0"/>
    <n v="52"/>
    <x v="6"/>
    <x v="24"/>
    <x v="0"/>
    <x v="2"/>
    <x v="134"/>
    <x v="14"/>
    <x v="135"/>
    <n v="2494.48"/>
    <s v="Yes"/>
    <x v="0"/>
    <n v="2"/>
    <n v="4"/>
    <n v="71"/>
    <s v="No"/>
    <n v="16"/>
    <x v="1"/>
    <n v="15"/>
    <s v="No"/>
    <m/>
    <x v="0"/>
    <x v="4"/>
  </r>
  <r>
    <x v="136"/>
    <s v="Ashley Garcia"/>
    <x v="1"/>
    <n v="26"/>
    <x v="4"/>
    <x v="5"/>
    <x v="1"/>
    <x v="0"/>
    <x v="135"/>
    <x v="9"/>
    <x v="136"/>
    <n v="2336.0500000000002"/>
    <s v="Yes"/>
    <x v="2"/>
    <n v="5"/>
    <n v="4"/>
    <n v="70"/>
    <s v="No"/>
    <n v="19"/>
    <x v="2"/>
    <n v="8"/>
    <s v="No"/>
    <m/>
    <x v="0"/>
    <x v="4"/>
  </r>
  <r>
    <x v="137"/>
    <s v="Emily Clark"/>
    <x v="1"/>
    <n v="23"/>
    <x v="1"/>
    <x v="12"/>
    <x v="1"/>
    <x v="2"/>
    <x v="136"/>
    <x v="6"/>
    <x v="137"/>
    <n v="7537.31"/>
    <s v="Yes"/>
    <x v="3"/>
    <n v="4"/>
    <n v="3"/>
    <n v="44"/>
    <s v="No"/>
    <n v="3"/>
    <x v="1"/>
    <n v="3"/>
    <s v="No"/>
    <m/>
    <x v="0"/>
    <x v="8"/>
  </r>
  <r>
    <x v="138"/>
    <s v="Kevin Thompson"/>
    <x v="0"/>
    <n v="43"/>
    <x v="1"/>
    <x v="12"/>
    <x v="0"/>
    <x v="0"/>
    <x v="137"/>
    <x v="4"/>
    <x v="138"/>
    <n v="9437.41"/>
    <s v="No"/>
    <x v="4"/>
    <n v="3"/>
    <n v="5"/>
    <n v="68"/>
    <s v="Yes"/>
    <n v="23"/>
    <x v="1"/>
    <n v="9"/>
    <s v="No"/>
    <m/>
    <x v="0"/>
    <x v="4"/>
  </r>
  <r>
    <x v="139"/>
    <s v="William Harris"/>
    <x v="0"/>
    <n v="47"/>
    <x v="2"/>
    <x v="2"/>
    <x v="2"/>
    <x v="0"/>
    <x v="138"/>
    <x v="6"/>
    <x v="139"/>
    <n v="5481.47"/>
    <s v="No"/>
    <x v="2"/>
    <n v="4"/>
    <n v="2"/>
    <n v="73"/>
    <s v="No"/>
    <n v="21"/>
    <x v="1"/>
    <n v="12"/>
    <s v="No"/>
    <m/>
    <x v="0"/>
    <x v="14"/>
  </r>
  <r>
    <x v="140"/>
    <s v="Anthony Taylor"/>
    <x v="0"/>
    <n v="38"/>
    <x v="3"/>
    <x v="3"/>
    <x v="0"/>
    <x v="2"/>
    <x v="139"/>
    <x v="12"/>
    <x v="140"/>
    <n v="8909.19"/>
    <s v="No"/>
    <x v="3"/>
    <n v="4"/>
    <n v="3"/>
    <n v="8"/>
    <s v="No"/>
    <n v="13"/>
    <x v="2"/>
    <n v="13"/>
    <s v="No"/>
    <m/>
    <x v="0"/>
    <x v="9"/>
  </r>
  <r>
    <x v="141"/>
    <s v="Nancy Clark"/>
    <x v="1"/>
    <n v="39"/>
    <x v="6"/>
    <x v="24"/>
    <x v="1"/>
    <x v="2"/>
    <x v="140"/>
    <x v="12"/>
    <x v="141"/>
    <n v="8960.2000000000007"/>
    <s v="Yes"/>
    <x v="2"/>
    <n v="1"/>
    <n v="1"/>
    <n v="20"/>
    <s v="No"/>
    <n v="1"/>
    <x v="1"/>
    <n v="6"/>
    <s v="No"/>
    <m/>
    <x v="0"/>
    <x v="10"/>
  </r>
  <r>
    <x v="142"/>
    <s v="Charles Garcia"/>
    <x v="0"/>
    <n v="38"/>
    <x v="2"/>
    <x v="2"/>
    <x v="0"/>
    <x v="2"/>
    <x v="141"/>
    <x v="3"/>
    <x v="142"/>
    <n v="3516.97"/>
    <s v="No"/>
    <x v="1"/>
    <n v="2"/>
    <n v="4"/>
    <n v="11"/>
    <s v="No"/>
    <n v="1"/>
    <x v="2"/>
    <n v="15"/>
    <s v="Yes"/>
    <d v="2025-04-08T00:00:00"/>
    <x v="1"/>
    <x v="5"/>
  </r>
  <r>
    <x v="143"/>
    <s v="Mary Smith"/>
    <x v="1"/>
    <n v="42"/>
    <x v="1"/>
    <x v="1"/>
    <x v="4"/>
    <x v="2"/>
    <x v="142"/>
    <x v="6"/>
    <x v="143"/>
    <n v="2930.3"/>
    <s v="Yes"/>
    <x v="3"/>
    <n v="1"/>
    <n v="3"/>
    <n v="47"/>
    <s v="No"/>
    <n v="5"/>
    <x v="1"/>
    <n v="4"/>
    <s v="No"/>
    <m/>
    <x v="0"/>
    <x v="14"/>
  </r>
  <r>
    <x v="144"/>
    <s v="Robert Taylor"/>
    <x v="0"/>
    <n v="57"/>
    <x v="2"/>
    <x v="23"/>
    <x v="0"/>
    <x v="1"/>
    <x v="143"/>
    <x v="4"/>
    <x v="144"/>
    <n v="2759.43"/>
    <s v="No"/>
    <x v="2"/>
    <n v="2"/>
    <n v="1"/>
    <n v="12"/>
    <s v="Yes"/>
    <n v="4"/>
    <x v="0"/>
    <n v="12"/>
    <s v="No"/>
    <m/>
    <x v="0"/>
    <x v="0"/>
  </r>
  <r>
    <x v="145"/>
    <s v="Elizabeth Davis"/>
    <x v="1"/>
    <n v="38"/>
    <x v="3"/>
    <x v="22"/>
    <x v="0"/>
    <x v="1"/>
    <x v="144"/>
    <x v="14"/>
    <x v="145"/>
    <n v="4258.8599999999997"/>
    <s v="No"/>
    <x v="3"/>
    <n v="3"/>
    <n v="2"/>
    <n v="66"/>
    <s v="No"/>
    <n v="7"/>
    <x v="0"/>
    <n v="12"/>
    <s v="No"/>
    <m/>
    <x v="0"/>
    <x v="1"/>
  </r>
  <r>
    <x v="146"/>
    <s v="Paul Gonzalez"/>
    <x v="0"/>
    <n v="28"/>
    <x v="0"/>
    <x v="19"/>
    <x v="1"/>
    <x v="0"/>
    <x v="145"/>
    <x v="13"/>
    <x v="146"/>
    <n v="2216.5500000000002"/>
    <s v="No"/>
    <x v="1"/>
    <n v="2"/>
    <n v="4"/>
    <n v="72"/>
    <s v="No"/>
    <n v="18"/>
    <x v="0"/>
    <n v="5"/>
    <s v="No"/>
    <m/>
    <x v="0"/>
    <x v="6"/>
  </r>
  <r>
    <x v="147"/>
    <s v="James Jackson"/>
    <x v="0"/>
    <n v="25"/>
    <x v="2"/>
    <x v="2"/>
    <x v="0"/>
    <x v="0"/>
    <x v="146"/>
    <x v="2"/>
    <x v="147"/>
    <n v="6394.12"/>
    <s v="No"/>
    <x v="2"/>
    <n v="4"/>
    <n v="4"/>
    <n v="10"/>
    <s v="No"/>
    <n v="18"/>
    <x v="0"/>
    <n v="4"/>
    <s v="No"/>
    <m/>
    <x v="0"/>
    <x v="12"/>
  </r>
  <r>
    <x v="148"/>
    <s v="Andrew Robinson"/>
    <x v="0"/>
    <n v="34"/>
    <x v="1"/>
    <x v="10"/>
    <x v="1"/>
    <x v="2"/>
    <x v="147"/>
    <x v="14"/>
    <x v="148"/>
    <n v="8572.07"/>
    <s v="No"/>
    <x v="3"/>
    <n v="3"/>
    <n v="4"/>
    <n v="30"/>
    <s v="Yes"/>
    <n v="3"/>
    <x v="1"/>
    <n v="3"/>
    <s v="No"/>
    <m/>
    <x v="0"/>
    <x v="11"/>
  </r>
  <r>
    <x v="149"/>
    <s v="Charles Perez"/>
    <x v="0"/>
    <n v="32"/>
    <x v="2"/>
    <x v="25"/>
    <x v="1"/>
    <x v="1"/>
    <x v="148"/>
    <x v="7"/>
    <x v="149"/>
    <n v="6332.81"/>
    <s v="No"/>
    <x v="1"/>
    <n v="2"/>
    <n v="3"/>
    <n v="16"/>
    <s v="No"/>
    <n v="28"/>
    <x v="1"/>
    <n v="3"/>
    <s v="No"/>
    <m/>
    <x v="0"/>
    <x v="1"/>
  </r>
  <r>
    <x v="150"/>
    <s v="Betty Rodriguez"/>
    <x v="1"/>
    <n v="54"/>
    <x v="2"/>
    <x v="2"/>
    <x v="1"/>
    <x v="1"/>
    <x v="149"/>
    <x v="3"/>
    <x v="150"/>
    <n v="3106.76"/>
    <s v="No"/>
    <x v="2"/>
    <n v="5"/>
    <n v="2"/>
    <n v="47"/>
    <s v="Yes"/>
    <n v="25"/>
    <x v="2"/>
    <n v="18"/>
    <s v="No"/>
    <m/>
    <x v="0"/>
    <x v="7"/>
  </r>
  <r>
    <x v="151"/>
    <s v="Andrew Smith"/>
    <x v="0"/>
    <n v="23"/>
    <x v="1"/>
    <x v="1"/>
    <x v="0"/>
    <x v="2"/>
    <x v="150"/>
    <x v="2"/>
    <x v="151"/>
    <n v="2139.48"/>
    <s v="No"/>
    <x v="3"/>
    <n v="5"/>
    <n v="4"/>
    <n v="28"/>
    <s v="No"/>
    <n v="14"/>
    <x v="0"/>
    <n v="10"/>
    <s v="No"/>
    <m/>
    <x v="0"/>
    <x v="7"/>
  </r>
  <r>
    <x v="152"/>
    <s v="Linda Taylor"/>
    <x v="1"/>
    <n v="24"/>
    <x v="0"/>
    <x v="0"/>
    <x v="2"/>
    <x v="0"/>
    <x v="151"/>
    <x v="2"/>
    <x v="152"/>
    <n v="3981.29"/>
    <s v="Yes"/>
    <x v="1"/>
    <n v="3"/>
    <n v="1"/>
    <n v="70"/>
    <s v="No"/>
    <n v="12"/>
    <x v="2"/>
    <n v="9"/>
    <s v="No"/>
    <m/>
    <x v="0"/>
    <x v="12"/>
  </r>
  <r>
    <x v="153"/>
    <s v="Steven Lopez"/>
    <x v="0"/>
    <n v="58"/>
    <x v="5"/>
    <x v="8"/>
    <x v="1"/>
    <x v="1"/>
    <x v="152"/>
    <x v="10"/>
    <x v="153"/>
    <n v="6924.17"/>
    <s v="Yes"/>
    <x v="4"/>
    <n v="3"/>
    <n v="1"/>
    <n v="42"/>
    <s v="Yes"/>
    <n v="22"/>
    <x v="1"/>
    <n v="9"/>
    <s v="Yes"/>
    <d v="2024-12-21T00:00:00"/>
    <x v="1"/>
    <x v="8"/>
  </r>
  <r>
    <x v="154"/>
    <s v="Ashley Johnson"/>
    <x v="1"/>
    <n v="30"/>
    <x v="3"/>
    <x v="3"/>
    <x v="3"/>
    <x v="0"/>
    <x v="153"/>
    <x v="13"/>
    <x v="154"/>
    <n v="7874.2"/>
    <s v="No"/>
    <x v="3"/>
    <n v="5"/>
    <n v="1"/>
    <n v="64"/>
    <s v="Yes"/>
    <n v="27"/>
    <x v="1"/>
    <n v="2"/>
    <s v="No"/>
    <m/>
    <x v="0"/>
    <x v="1"/>
  </r>
  <r>
    <x v="155"/>
    <s v="Elizabeth Davis"/>
    <x v="1"/>
    <n v="39"/>
    <x v="6"/>
    <x v="20"/>
    <x v="4"/>
    <x v="2"/>
    <x v="154"/>
    <x v="12"/>
    <x v="155"/>
    <n v="2729.66"/>
    <s v="Yes"/>
    <x v="0"/>
    <n v="2"/>
    <n v="5"/>
    <n v="13"/>
    <s v="Yes"/>
    <n v="6"/>
    <x v="1"/>
    <n v="14"/>
    <s v="No"/>
    <m/>
    <x v="0"/>
    <x v="7"/>
  </r>
  <r>
    <x v="156"/>
    <s v="Susan Anderson"/>
    <x v="1"/>
    <n v="40"/>
    <x v="5"/>
    <x v="9"/>
    <x v="2"/>
    <x v="0"/>
    <x v="155"/>
    <x v="11"/>
    <x v="156"/>
    <n v="5267.36"/>
    <s v="No"/>
    <x v="4"/>
    <n v="1"/>
    <n v="2"/>
    <n v="41"/>
    <s v="Yes"/>
    <n v="23"/>
    <x v="2"/>
    <n v="11"/>
    <s v="No"/>
    <m/>
    <x v="0"/>
    <x v="1"/>
  </r>
  <r>
    <x v="157"/>
    <s v="Sarah Clark"/>
    <x v="1"/>
    <n v="32"/>
    <x v="2"/>
    <x v="7"/>
    <x v="2"/>
    <x v="1"/>
    <x v="156"/>
    <x v="0"/>
    <x v="157"/>
    <n v="3902.55"/>
    <s v="No"/>
    <x v="0"/>
    <n v="1"/>
    <n v="1"/>
    <n v="7"/>
    <s v="No"/>
    <n v="8"/>
    <x v="2"/>
    <n v="6"/>
    <s v="No"/>
    <m/>
    <x v="0"/>
    <x v="2"/>
  </r>
  <r>
    <x v="158"/>
    <s v="Kevin Jackson"/>
    <x v="0"/>
    <n v="37"/>
    <x v="1"/>
    <x v="1"/>
    <x v="3"/>
    <x v="0"/>
    <x v="157"/>
    <x v="4"/>
    <x v="158"/>
    <n v="6221.38"/>
    <s v="Yes"/>
    <x v="1"/>
    <n v="1"/>
    <n v="1"/>
    <n v="59"/>
    <s v="Yes"/>
    <n v="30"/>
    <x v="0"/>
    <n v="13"/>
    <s v="No"/>
    <m/>
    <x v="0"/>
    <x v="0"/>
  </r>
  <r>
    <x v="159"/>
    <s v="Mary Gonzalez"/>
    <x v="1"/>
    <n v="48"/>
    <x v="0"/>
    <x v="11"/>
    <x v="0"/>
    <x v="0"/>
    <x v="158"/>
    <x v="9"/>
    <x v="159"/>
    <n v="8520.94"/>
    <s v="Yes"/>
    <x v="4"/>
    <n v="5"/>
    <n v="2"/>
    <n v="37"/>
    <s v="No"/>
    <n v="29"/>
    <x v="0"/>
    <n v="15"/>
    <s v="Yes"/>
    <d v="2023-07-27T00:00:00"/>
    <x v="1"/>
    <x v="0"/>
  </r>
  <r>
    <x v="160"/>
    <s v="Mark Miller"/>
    <x v="0"/>
    <n v="54"/>
    <x v="0"/>
    <x v="16"/>
    <x v="4"/>
    <x v="1"/>
    <x v="159"/>
    <x v="2"/>
    <x v="160"/>
    <n v="9262.4"/>
    <s v="No"/>
    <x v="4"/>
    <n v="5"/>
    <n v="3"/>
    <n v="49"/>
    <s v="No"/>
    <n v="1"/>
    <x v="1"/>
    <n v="19"/>
    <s v="No"/>
    <m/>
    <x v="0"/>
    <x v="10"/>
  </r>
  <r>
    <x v="161"/>
    <s v="Patricia Sanchez"/>
    <x v="1"/>
    <n v="51"/>
    <x v="4"/>
    <x v="21"/>
    <x v="1"/>
    <x v="0"/>
    <x v="160"/>
    <x v="11"/>
    <x v="161"/>
    <n v="5534.16"/>
    <s v="Yes"/>
    <x v="3"/>
    <n v="2"/>
    <n v="5"/>
    <n v="49"/>
    <s v="No"/>
    <n v="27"/>
    <x v="2"/>
    <n v="5"/>
    <s v="No"/>
    <m/>
    <x v="0"/>
    <x v="2"/>
  </r>
  <r>
    <x v="162"/>
    <s v="Donna Smith"/>
    <x v="1"/>
    <n v="43"/>
    <x v="4"/>
    <x v="6"/>
    <x v="1"/>
    <x v="0"/>
    <x v="161"/>
    <x v="13"/>
    <x v="162"/>
    <n v="3668.14"/>
    <s v="Yes"/>
    <x v="3"/>
    <n v="2"/>
    <n v="5"/>
    <n v="28"/>
    <s v="Yes"/>
    <n v="16"/>
    <x v="2"/>
    <n v="10"/>
    <s v="No"/>
    <m/>
    <x v="0"/>
    <x v="8"/>
  </r>
  <r>
    <x v="163"/>
    <s v="Daniel Thompson"/>
    <x v="0"/>
    <n v="32"/>
    <x v="1"/>
    <x v="4"/>
    <x v="3"/>
    <x v="0"/>
    <x v="162"/>
    <x v="14"/>
    <x v="163"/>
    <n v="2698.06"/>
    <s v="Yes"/>
    <x v="4"/>
    <n v="3"/>
    <n v="1"/>
    <n v="47"/>
    <s v="No"/>
    <n v="22"/>
    <x v="1"/>
    <n v="18"/>
    <s v="Yes"/>
    <d v="2024-09-10T00:00:00"/>
    <x v="1"/>
    <x v="2"/>
  </r>
  <r>
    <x v="164"/>
    <s v="David White"/>
    <x v="0"/>
    <n v="48"/>
    <x v="1"/>
    <x v="12"/>
    <x v="1"/>
    <x v="0"/>
    <x v="163"/>
    <x v="0"/>
    <x v="164"/>
    <n v="9807.17"/>
    <s v="No"/>
    <x v="0"/>
    <n v="5"/>
    <n v="2"/>
    <n v="48"/>
    <s v="No"/>
    <n v="23"/>
    <x v="1"/>
    <n v="4"/>
    <s v="No"/>
    <m/>
    <x v="0"/>
    <x v="1"/>
  </r>
  <r>
    <x v="165"/>
    <s v="Donna Johnson"/>
    <x v="1"/>
    <n v="32"/>
    <x v="4"/>
    <x v="21"/>
    <x v="4"/>
    <x v="1"/>
    <x v="164"/>
    <x v="4"/>
    <x v="165"/>
    <n v="3117.8"/>
    <s v="No"/>
    <x v="1"/>
    <n v="1"/>
    <n v="2"/>
    <n v="44"/>
    <s v="No"/>
    <n v="6"/>
    <x v="0"/>
    <n v="2"/>
    <s v="No"/>
    <m/>
    <x v="0"/>
    <x v="14"/>
  </r>
  <r>
    <x v="166"/>
    <s v="Sandra Smith"/>
    <x v="1"/>
    <n v="37"/>
    <x v="0"/>
    <x v="0"/>
    <x v="1"/>
    <x v="2"/>
    <x v="165"/>
    <x v="10"/>
    <x v="166"/>
    <n v="10928.53"/>
    <s v="Yes"/>
    <x v="2"/>
    <n v="4"/>
    <n v="2"/>
    <n v="52"/>
    <s v="No"/>
    <n v="13"/>
    <x v="1"/>
    <n v="17"/>
    <s v="No"/>
    <m/>
    <x v="0"/>
    <x v="4"/>
  </r>
  <r>
    <x v="167"/>
    <s v="Donna Lee"/>
    <x v="1"/>
    <n v="35"/>
    <x v="0"/>
    <x v="19"/>
    <x v="3"/>
    <x v="0"/>
    <x v="166"/>
    <x v="9"/>
    <x v="167"/>
    <n v="2498"/>
    <s v="Yes"/>
    <x v="1"/>
    <n v="2"/>
    <n v="4"/>
    <n v="20"/>
    <s v="No"/>
    <n v="18"/>
    <x v="2"/>
    <n v="10"/>
    <s v="No"/>
    <m/>
    <x v="0"/>
    <x v="11"/>
  </r>
  <r>
    <x v="168"/>
    <s v="Mary Wilson"/>
    <x v="1"/>
    <n v="31"/>
    <x v="4"/>
    <x v="26"/>
    <x v="0"/>
    <x v="0"/>
    <x v="167"/>
    <x v="12"/>
    <x v="168"/>
    <n v="2700.48"/>
    <s v="No"/>
    <x v="4"/>
    <n v="3"/>
    <n v="3"/>
    <n v="38"/>
    <s v="Yes"/>
    <n v="2"/>
    <x v="1"/>
    <n v="18"/>
    <s v="No"/>
    <m/>
    <x v="0"/>
    <x v="9"/>
  </r>
  <r>
    <x v="169"/>
    <s v="John Lopez"/>
    <x v="0"/>
    <n v="21"/>
    <x v="5"/>
    <x v="13"/>
    <x v="0"/>
    <x v="1"/>
    <x v="125"/>
    <x v="3"/>
    <x v="169"/>
    <n v="3493.38"/>
    <s v="Yes"/>
    <x v="0"/>
    <n v="3"/>
    <n v="1"/>
    <n v="60"/>
    <s v="No"/>
    <n v="10"/>
    <x v="1"/>
    <n v="15"/>
    <s v="No"/>
    <m/>
    <x v="0"/>
    <x v="14"/>
  </r>
  <r>
    <x v="170"/>
    <s v="Jennifer Lee"/>
    <x v="1"/>
    <n v="55"/>
    <x v="5"/>
    <x v="8"/>
    <x v="0"/>
    <x v="2"/>
    <x v="168"/>
    <x v="2"/>
    <x v="170"/>
    <n v="1320.84"/>
    <s v="No"/>
    <x v="1"/>
    <n v="2"/>
    <n v="3"/>
    <n v="72"/>
    <s v="Yes"/>
    <n v="25"/>
    <x v="0"/>
    <n v="3"/>
    <s v="Yes"/>
    <d v="2023-12-06T00:00:00"/>
    <x v="1"/>
    <x v="6"/>
  </r>
  <r>
    <x v="171"/>
    <s v="Donna Davis"/>
    <x v="1"/>
    <n v="56"/>
    <x v="2"/>
    <x v="7"/>
    <x v="2"/>
    <x v="2"/>
    <x v="169"/>
    <x v="0"/>
    <x v="171"/>
    <n v="10316.129999999999"/>
    <s v="No"/>
    <x v="0"/>
    <n v="4"/>
    <n v="3"/>
    <n v="10"/>
    <s v="No"/>
    <n v="28"/>
    <x v="0"/>
    <n v="1"/>
    <s v="No"/>
    <m/>
    <x v="0"/>
    <x v="10"/>
  </r>
  <r>
    <x v="172"/>
    <s v="Michael Harris"/>
    <x v="0"/>
    <n v="49"/>
    <x v="0"/>
    <x v="0"/>
    <x v="4"/>
    <x v="0"/>
    <x v="170"/>
    <x v="6"/>
    <x v="172"/>
    <n v="1442.19"/>
    <s v="No"/>
    <x v="0"/>
    <n v="2"/>
    <n v="5"/>
    <n v="33"/>
    <s v="No"/>
    <n v="24"/>
    <x v="2"/>
    <n v="2"/>
    <s v="No"/>
    <m/>
    <x v="0"/>
    <x v="0"/>
  </r>
  <r>
    <x v="173"/>
    <s v="Sarah Taylor"/>
    <x v="1"/>
    <n v="50"/>
    <x v="1"/>
    <x v="1"/>
    <x v="1"/>
    <x v="1"/>
    <x v="113"/>
    <x v="14"/>
    <x v="173"/>
    <n v="4556.93"/>
    <s v="No"/>
    <x v="0"/>
    <n v="5"/>
    <n v="5"/>
    <n v="74"/>
    <s v="No"/>
    <n v="4"/>
    <x v="2"/>
    <n v="18"/>
    <s v="No"/>
    <m/>
    <x v="0"/>
    <x v="6"/>
  </r>
  <r>
    <x v="174"/>
    <s v="Emily Lewis"/>
    <x v="1"/>
    <n v="43"/>
    <x v="5"/>
    <x v="9"/>
    <x v="0"/>
    <x v="2"/>
    <x v="171"/>
    <x v="0"/>
    <x v="174"/>
    <n v="1903.53"/>
    <s v="Yes"/>
    <x v="0"/>
    <n v="5"/>
    <n v="5"/>
    <n v="51"/>
    <s v="Yes"/>
    <n v="29"/>
    <x v="1"/>
    <n v="7"/>
    <s v="Yes"/>
    <d v="2024-08-31T00:00:00"/>
    <x v="1"/>
    <x v="10"/>
  </r>
  <r>
    <x v="175"/>
    <s v="Lisa Smith"/>
    <x v="1"/>
    <n v="42"/>
    <x v="1"/>
    <x v="4"/>
    <x v="0"/>
    <x v="2"/>
    <x v="172"/>
    <x v="6"/>
    <x v="175"/>
    <n v="4150.67"/>
    <s v="No"/>
    <x v="2"/>
    <n v="3"/>
    <n v="3"/>
    <n v="53"/>
    <s v="No"/>
    <n v="3"/>
    <x v="2"/>
    <n v="14"/>
    <s v="No"/>
    <m/>
    <x v="0"/>
    <x v="4"/>
  </r>
  <r>
    <x v="176"/>
    <s v="Ashley Harris"/>
    <x v="1"/>
    <n v="54"/>
    <x v="1"/>
    <x v="4"/>
    <x v="2"/>
    <x v="1"/>
    <x v="173"/>
    <x v="11"/>
    <x v="176"/>
    <n v="4296.8"/>
    <s v="No"/>
    <x v="4"/>
    <n v="5"/>
    <n v="1"/>
    <n v="22"/>
    <s v="Yes"/>
    <n v="27"/>
    <x v="2"/>
    <n v="1"/>
    <s v="No"/>
    <m/>
    <x v="0"/>
    <x v="9"/>
  </r>
  <r>
    <x v="177"/>
    <s v="Matthew Thompson"/>
    <x v="0"/>
    <n v="33"/>
    <x v="6"/>
    <x v="20"/>
    <x v="2"/>
    <x v="1"/>
    <x v="174"/>
    <x v="2"/>
    <x v="177"/>
    <n v="2295.94"/>
    <s v="Yes"/>
    <x v="1"/>
    <n v="4"/>
    <n v="5"/>
    <n v="57"/>
    <s v="Yes"/>
    <n v="28"/>
    <x v="1"/>
    <n v="18"/>
    <s v="No"/>
    <m/>
    <x v="0"/>
    <x v="2"/>
  </r>
  <r>
    <x v="178"/>
    <s v="Thomas White"/>
    <x v="0"/>
    <n v="26"/>
    <x v="6"/>
    <x v="17"/>
    <x v="0"/>
    <x v="0"/>
    <x v="175"/>
    <x v="0"/>
    <x v="178"/>
    <n v="3354.72"/>
    <s v="Yes"/>
    <x v="0"/>
    <n v="2"/>
    <n v="3"/>
    <n v="52"/>
    <s v="No"/>
    <n v="28"/>
    <x v="0"/>
    <n v="0"/>
    <s v="No"/>
    <m/>
    <x v="0"/>
    <x v="13"/>
  </r>
  <r>
    <x v="179"/>
    <s v="Brian Sanchez"/>
    <x v="0"/>
    <n v="21"/>
    <x v="0"/>
    <x v="11"/>
    <x v="1"/>
    <x v="2"/>
    <x v="176"/>
    <x v="3"/>
    <x v="179"/>
    <n v="8580.31"/>
    <s v="No"/>
    <x v="2"/>
    <n v="3"/>
    <n v="2"/>
    <n v="59"/>
    <s v="No"/>
    <n v="17"/>
    <x v="0"/>
    <n v="12"/>
    <s v="No"/>
    <m/>
    <x v="0"/>
    <x v="1"/>
  </r>
  <r>
    <x v="180"/>
    <s v="Emily Lee"/>
    <x v="1"/>
    <n v="59"/>
    <x v="4"/>
    <x v="21"/>
    <x v="0"/>
    <x v="0"/>
    <x v="177"/>
    <x v="8"/>
    <x v="180"/>
    <n v="7392.83"/>
    <s v="No"/>
    <x v="1"/>
    <n v="3"/>
    <n v="3"/>
    <n v="24"/>
    <s v="Yes"/>
    <n v="25"/>
    <x v="2"/>
    <n v="1"/>
    <s v="No"/>
    <m/>
    <x v="0"/>
    <x v="6"/>
  </r>
  <r>
    <x v="181"/>
    <s v="Nancy Perez"/>
    <x v="1"/>
    <n v="29"/>
    <x v="3"/>
    <x v="22"/>
    <x v="1"/>
    <x v="2"/>
    <x v="178"/>
    <x v="10"/>
    <x v="181"/>
    <n v="6162.12"/>
    <s v="No"/>
    <x v="4"/>
    <n v="5"/>
    <n v="2"/>
    <n v="43"/>
    <s v="No"/>
    <n v="8"/>
    <x v="0"/>
    <n v="17"/>
    <s v="No"/>
    <m/>
    <x v="0"/>
    <x v="9"/>
  </r>
  <r>
    <x v="182"/>
    <s v="Kimberly Martinez"/>
    <x v="1"/>
    <n v="31"/>
    <x v="1"/>
    <x v="10"/>
    <x v="0"/>
    <x v="2"/>
    <x v="179"/>
    <x v="6"/>
    <x v="182"/>
    <n v="8233"/>
    <s v="No"/>
    <x v="0"/>
    <n v="3"/>
    <n v="1"/>
    <n v="28"/>
    <s v="No"/>
    <n v="24"/>
    <x v="1"/>
    <n v="13"/>
    <s v="No"/>
    <m/>
    <x v="0"/>
    <x v="2"/>
  </r>
  <r>
    <x v="183"/>
    <s v="Sarah Jackson"/>
    <x v="1"/>
    <n v="39"/>
    <x v="5"/>
    <x v="13"/>
    <x v="0"/>
    <x v="1"/>
    <x v="180"/>
    <x v="14"/>
    <x v="183"/>
    <n v="7533.14"/>
    <s v="No"/>
    <x v="0"/>
    <n v="5"/>
    <n v="1"/>
    <n v="48"/>
    <s v="No"/>
    <n v="14"/>
    <x v="2"/>
    <n v="4"/>
    <s v="Yes"/>
    <d v="2024-02-15T00:00:00"/>
    <x v="1"/>
    <x v="2"/>
  </r>
  <r>
    <x v="184"/>
    <s v="Donna Lewis"/>
    <x v="1"/>
    <n v="50"/>
    <x v="0"/>
    <x v="11"/>
    <x v="2"/>
    <x v="0"/>
    <x v="181"/>
    <x v="5"/>
    <x v="184"/>
    <n v="7825.29"/>
    <s v="Yes"/>
    <x v="3"/>
    <n v="1"/>
    <n v="4"/>
    <n v="35"/>
    <s v="Yes"/>
    <n v="25"/>
    <x v="2"/>
    <n v="18"/>
    <s v="No"/>
    <m/>
    <x v="0"/>
    <x v="9"/>
  </r>
  <r>
    <x v="185"/>
    <s v="William Martin"/>
    <x v="0"/>
    <n v="48"/>
    <x v="3"/>
    <x v="27"/>
    <x v="0"/>
    <x v="2"/>
    <x v="182"/>
    <x v="2"/>
    <x v="185"/>
    <n v="3151.67"/>
    <s v="No"/>
    <x v="3"/>
    <n v="3"/>
    <n v="5"/>
    <n v="24"/>
    <s v="Yes"/>
    <n v="1"/>
    <x v="0"/>
    <n v="7"/>
    <s v="No"/>
    <m/>
    <x v="0"/>
    <x v="10"/>
  </r>
  <r>
    <x v="186"/>
    <s v="Karen Jones"/>
    <x v="1"/>
    <n v="27"/>
    <x v="5"/>
    <x v="9"/>
    <x v="0"/>
    <x v="0"/>
    <x v="183"/>
    <x v="9"/>
    <x v="186"/>
    <n v="7681.92"/>
    <s v="No"/>
    <x v="4"/>
    <n v="3"/>
    <n v="4"/>
    <n v="17"/>
    <s v="No"/>
    <n v="29"/>
    <x v="1"/>
    <n v="11"/>
    <s v="No"/>
    <m/>
    <x v="0"/>
    <x v="13"/>
  </r>
  <r>
    <x v="187"/>
    <s v="Mary Davis"/>
    <x v="1"/>
    <n v="35"/>
    <x v="3"/>
    <x v="18"/>
    <x v="0"/>
    <x v="0"/>
    <x v="184"/>
    <x v="14"/>
    <x v="187"/>
    <n v="2259.87"/>
    <s v="No"/>
    <x v="3"/>
    <n v="4"/>
    <n v="3"/>
    <n v="68"/>
    <s v="No"/>
    <n v="20"/>
    <x v="2"/>
    <n v="3"/>
    <s v="No"/>
    <m/>
    <x v="0"/>
    <x v="1"/>
  </r>
  <r>
    <x v="188"/>
    <s v="Michael Wilson"/>
    <x v="0"/>
    <n v="49"/>
    <x v="5"/>
    <x v="13"/>
    <x v="1"/>
    <x v="2"/>
    <x v="185"/>
    <x v="11"/>
    <x v="188"/>
    <n v="5711.59"/>
    <s v="Yes"/>
    <x v="2"/>
    <n v="1"/>
    <n v="5"/>
    <n v="34"/>
    <s v="No"/>
    <n v="23"/>
    <x v="2"/>
    <n v="13"/>
    <s v="No"/>
    <m/>
    <x v="0"/>
    <x v="7"/>
  </r>
  <r>
    <x v="189"/>
    <s v="Charles Brown"/>
    <x v="0"/>
    <n v="27"/>
    <x v="5"/>
    <x v="8"/>
    <x v="1"/>
    <x v="2"/>
    <x v="186"/>
    <x v="13"/>
    <x v="189"/>
    <n v="6545.68"/>
    <s v="No"/>
    <x v="0"/>
    <n v="1"/>
    <n v="5"/>
    <n v="63"/>
    <s v="No"/>
    <n v="23"/>
    <x v="1"/>
    <n v="10"/>
    <s v="No"/>
    <m/>
    <x v="0"/>
    <x v="1"/>
  </r>
  <r>
    <x v="190"/>
    <s v="Michael Clark"/>
    <x v="0"/>
    <n v="57"/>
    <x v="3"/>
    <x v="27"/>
    <x v="0"/>
    <x v="0"/>
    <x v="187"/>
    <x v="13"/>
    <x v="190"/>
    <n v="4463.09"/>
    <s v="No"/>
    <x v="0"/>
    <n v="4"/>
    <n v="3"/>
    <n v="33"/>
    <s v="No"/>
    <n v="4"/>
    <x v="2"/>
    <n v="1"/>
    <s v="No"/>
    <m/>
    <x v="0"/>
    <x v="2"/>
  </r>
  <r>
    <x v="191"/>
    <s v="Betty White"/>
    <x v="1"/>
    <n v="28"/>
    <x v="2"/>
    <x v="25"/>
    <x v="3"/>
    <x v="0"/>
    <x v="188"/>
    <x v="3"/>
    <x v="191"/>
    <n v="4428.1899999999996"/>
    <s v="No"/>
    <x v="4"/>
    <n v="3"/>
    <n v="1"/>
    <n v="47"/>
    <s v="No"/>
    <n v="6"/>
    <x v="2"/>
    <n v="12"/>
    <s v="No"/>
    <m/>
    <x v="0"/>
    <x v="9"/>
  </r>
  <r>
    <x v="192"/>
    <s v="Margaret Thompson"/>
    <x v="1"/>
    <n v="51"/>
    <x v="1"/>
    <x v="12"/>
    <x v="1"/>
    <x v="0"/>
    <x v="189"/>
    <x v="6"/>
    <x v="192"/>
    <n v="4763.3599999999997"/>
    <s v="No"/>
    <x v="0"/>
    <n v="1"/>
    <n v="4"/>
    <n v="75"/>
    <s v="No"/>
    <n v="19"/>
    <x v="0"/>
    <n v="14"/>
    <s v="No"/>
    <m/>
    <x v="0"/>
    <x v="0"/>
  </r>
  <r>
    <x v="193"/>
    <s v="Michelle Smith"/>
    <x v="1"/>
    <n v="29"/>
    <x v="5"/>
    <x v="14"/>
    <x v="0"/>
    <x v="2"/>
    <x v="190"/>
    <x v="1"/>
    <x v="193"/>
    <n v="2309.36"/>
    <s v="No"/>
    <x v="4"/>
    <n v="5"/>
    <n v="5"/>
    <n v="28"/>
    <s v="No"/>
    <n v="22"/>
    <x v="1"/>
    <n v="16"/>
    <s v="No"/>
    <m/>
    <x v="0"/>
    <x v="3"/>
  </r>
  <r>
    <x v="194"/>
    <s v="Mark Perez"/>
    <x v="0"/>
    <n v="36"/>
    <x v="5"/>
    <x v="9"/>
    <x v="1"/>
    <x v="1"/>
    <x v="191"/>
    <x v="2"/>
    <x v="194"/>
    <n v="6234.12"/>
    <s v="No"/>
    <x v="4"/>
    <n v="1"/>
    <n v="1"/>
    <n v="20"/>
    <s v="No"/>
    <n v="16"/>
    <x v="1"/>
    <n v="5"/>
    <s v="Yes"/>
    <d v="2024-10-03T00:00:00"/>
    <x v="1"/>
    <x v="2"/>
  </r>
  <r>
    <x v="195"/>
    <s v="Daniel Rodriguez"/>
    <x v="0"/>
    <n v="24"/>
    <x v="4"/>
    <x v="6"/>
    <x v="1"/>
    <x v="2"/>
    <x v="192"/>
    <x v="1"/>
    <x v="195"/>
    <n v="3214.84"/>
    <s v="No"/>
    <x v="4"/>
    <n v="4"/>
    <n v="1"/>
    <n v="63"/>
    <s v="No"/>
    <n v="4"/>
    <x v="1"/>
    <n v="20"/>
    <s v="Yes"/>
    <d v="2024-04-06T00:00:00"/>
    <x v="1"/>
    <x v="0"/>
  </r>
  <r>
    <x v="196"/>
    <s v="Joshua Moore"/>
    <x v="0"/>
    <n v="21"/>
    <x v="1"/>
    <x v="1"/>
    <x v="1"/>
    <x v="1"/>
    <x v="193"/>
    <x v="3"/>
    <x v="196"/>
    <n v="4323.99"/>
    <s v="Yes"/>
    <x v="2"/>
    <n v="3"/>
    <n v="3"/>
    <n v="6"/>
    <s v="No"/>
    <n v="28"/>
    <x v="1"/>
    <n v="10"/>
    <s v="No"/>
    <m/>
    <x v="0"/>
    <x v="11"/>
  </r>
  <r>
    <x v="197"/>
    <s v="Lisa Thompson"/>
    <x v="1"/>
    <n v="49"/>
    <x v="2"/>
    <x v="25"/>
    <x v="1"/>
    <x v="0"/>
    <x v="194"/>
    <x v="7"/>
    <x v="197"/>
    <n v="6876.96"/>
    <s v="No"/>
    <x v="1"/>
    <n v="5"/>
    <n v="5"/>
    <n v="47"/>
    <s v="No"/>
    <n v="2"/>
    <x v="2"/>
    <n v="15"/>
    <s v="Yes"/>
    <d v="2026-01-08T00:00:00"/>
    <x v="1"/>
    <x v="3"/>
  </r>
  <r>
    <x v="198"/>
    <s v="Linda Rodriguez"/>
    <x v="1"/>
    <n v="60"/>
    <x v="0"/>
    <x v="0"/>
    <x v="0"/>
    <x v="2"/>
    <x v="195"/>
    <x v="4"/>
    <x v="198"/>
    <n v="9083.35"/>
    <s v="No"/>
    <x v="3"/>
    <n v="4"/>
    <n v="1"/>
    <n v="75"/>
    <s v="Yes"/>
    <n v="29"/>
    <x v="1"/>
    <n v="14"/>
    <s v="No"/>
    <m/>
    <x v="0"/>
    <x v="5"/>
  </r>
  <r>
    <x v="199"/>
    <s v="Paul Smith"/>
    <x v="0"/>
    <n v="54"/>
    <x v="3"/>
    <x v="22"/>
    <x v="1"/>
    <x v="2"/>
    <x v="196"/>
    <x v="14"/>
    <x v="199"/>
    <n v="5299.39"/>
    <s v="No"/>
    <x v="0"/>
    <n v="5"/>
    <n v="2"/>
    <n v="16"/>
    <s v="Yes"/>
    <n v="22"/>
    <x v="0"/>
    <n v="19"/>
    <s v="No"/>
    <m/>
    <x v="0"/>
    <x v="5"/>
  </r>
  <r>
    <x v="200"/>
    <s v="Betty Martin"/>
    <x v="1"/>
    <n v="36"/>
    <x v="6"/>
    <x v="15"/>
    <x v="4"/>
    <x v="2"/>
    <x v="197"/>
    <x v="8"/>
    <x v="200"/>
    <n v="2703.6"/>
    <s v="No"/>
    <x v="4"/>
    <n v="3"/>
    <n v="5"/>
    <n v="40"/>
    <s v="No"/>
    <n v="30"/>
    <x v="0"/>
    <n v="20"/>
    <s v="No"/>
    <m/>
    <x v="0"/>
    <x v="8"/>
  </r>
  <r>
    <x v="201"/>
    <s v="Lisa Robinson"/>
    <x v="1"/>
    <n v="29"/>
    <x v="3"/>
    <x v="18"/>
    <x v="1"/>
    <x v="1"/>
    <x v="198"/>
    <x v="3"/>
    <x v="201"/>
    <n v="1845.73"/>
    <s v="No"/>
    <x v="2"/>
    <n v="5"/>
    <n v="5"/>
    <n v="53"/>
    <s v="No"/>
    <n v="29"/>
    <x v="0"/>
    <n v="9"/>
    <s v="No"/>
    <m/>
    <x v="0"/>
    <x v="0"/>
  </r>
  <r>
    <x v="202"/>
    <s v="Andrew Brown"/>
    <x v="0"/>
    <n v="22"/>
    <x v="5"/>
    <x v="8"/>
    <x v="3"/>
    <x v="0"/>
    <x v="199"/>
    <x v="4"/>
    <x v="202"/>
    <n v="6840.96"/>
    <s v="No"/>
    <x v="1"/>
    <n v="2"/>
    <n v="1"/>
    <n v="37"/>
    <s v="Yes"/>
    <n v="18"/>
    <x v="2"/>
    <n v="11"/>
    <s v="No"/>
    <m/>
    <x v="0"/>
    <x v="7"/>
  </r>
  <r>
    <x v="203"/>
    <s v="Joshua Gonzalez"/>
    <x v="0"/>
    <n v="36"/>
    <x v="4"/>
    <x v="21"/>
    <x v="1"/>
    <x v="0"/>
    <x v="200"/>
    <x v="2"/>
    <x v="203"/>
    <n v="10693.09"/>
    <s v="No"/>
    <x v="1"/>
    <n v="5"/>
    <n v="1"/>
    <n v="1"/>
    <s v="No"/>
    <n v="7"/>
    <x v="0"/>
    <n v="14"/>
    <s v="No"/>
    <m/>
    <x v="0"/>
    <x v="10"/>
  </r>
  <r>
    <x v="204"/>
    <s v="Donna Moore"/>
    <x v="1"/>
    <n v="59"/>
    <x v="0"/>
    <x v="0"/>
    <x v="0"/>
    <x v="0"/>
    <x v="201"/>
    <x v="5"/>
    <x v="204"/>
    <n v="2434.36"/>
    <s v="No"/>
    <x v="2"/>
    <n v="1"/>
    <n v="4"/>
    <n v="35"/>
    <s v="No"/>
    <n v="5"/>
    <x v="2"/>
    <n v="18"/>
    <s v="No"/>
    <m/>
    <x v="0"/>
    <x v="1"/>
  </r>
  <r>
    <x v="205"/>
    <s v="Sandra Thompson"/>
    <x v="1"/>
    <n v="30"/>
    <x v="2"/>
    <x v="23"/>
    <x v="4"/>
    <x v="1"/>
    <x v="202"/>
    <x v="5"/>
    <x v="205"/>
    <n v="7855.77"/>
    <s v="No"/>
    <x v="1"/>
    <n v="4"/>
    <n v="5"/>
    <n v="70"/>
    <s v="No"/>
    <n v="26"/>
    <x v="0"/>
    <n v="10"/>
    <s v="No"/>
    <m/>
    <x v="0"/>
    <x v="13"/>
  </r>
  <r>
    <x v="206"/>
    <s v="Andrew Garcia"/>
    <x v="0"/>
    <n v="47"/>
    <x v="4"/>
    <x v="26"/>
    <x v="3"/>
    <x v="0"/>
    <x v="203"/>
    <x v="4"/>
    <x v="206"/>
    <n v="5972.92"/>
    <s v="Yes"/>
    <x v="4"/>
    <n v="5"/>
    <n v="4"/>
    <n v="71"/>
    <s v="No"/>
    <n v="21"/>
    <x v="2"/>
    <n v="3"/>
    <s v="No"/>
    <m/>
    <x v="0"/>
    <x v="9"/>
  </r>
  <r>
    <x v="207"/>
    <s v="Brian Robinson"/>
    <x v="0"/>
    <n v="60"/>
    <x v="0"/>
    <x v="16"/>
    <x v="1"/>
    <x v="2"/>
    <x v="204"/>
    <x v="2"/>
    <x v="207"/>
    <n v="14932.74"/>
    <s v="No"/>
    <x v="4"/>
    <n v="3"/>
    <n v="1"/>
    <n v="66"/>
    <s v="No"/>
    <n v="12"/>
    <x v="0"/>
    <n v="16"/>
    <s v="No"/>
    <m/>
    <x v="0"/>
    <x v="1"/>
  </r>
  <r>
    <x v="208"/>
    <s v="Susan Hernandez"/>
    <x v="1"/>
    <n v="53"/>
    <x v="2"/>
    <x v="25"/>
    <x v="0"/>
    <x v="1"/>
    <x v="205"/>
    <x v="13"/>
    <x v="208"/>
    <n v="1009.39"/>
    <s v="No"/>
    <x v="0"/>
    <n v="4"/>
    <n v="1"/>
    <n v="26"/>
    <s v="No"/>
    <n v="23"/>
    <x v="0"/>
    <n v="13"/>
    <s v="No"/>
    <m/>
    <x v="0"/>
    <x v="7"/>
  </r>
  <r>
    <x v="209"/>
    <s v="James Anderson"/>
    <x v="0"/>
    <n v="42"/>
    <x v="2"/>
    <x v="25"/>
    <x v="3"/>
    <x v="0"/>
    <x v="206"/>
    <x v="10"/>
    <x v="209"/>
    <n v="6224.24"/>
    <s v="Yes"/>
    <x v="1"/>
    <n v="4"/>
    <n v="4"/>
    <n v="57"/>
    <s v="No"/>
    <n v="14"/>
    <x v="1"/>
    <n v="0"/>
    <s v="No"/>
    <m/>
    <x v="0"/>
    <x v="7"/>
  </r>
  <r>
    <x v="210"/>
    <s v="Brian Williams"/>
    <x v="0"/>
    <n v="58"/>
    <x v="2"/>
    <x v="25"/>
    <x v="0"/>
    <x v="1"/>
    <x v="207"/>
    <x v="6"/>
    <x v="210"/>
    <n v="5560.94"/>
    <s v="No"/>
    <x v="1"/>
    <n v="4"/>
    <n v="4"/>
    <n v="50"/>
    <s v="No"/>
    <n v="1"/>
    <x v="1"/>
    <n v="5"/>
    <s v="No"/>
    <m/>
    <x v="0"/>
    <x v="13"/>
  </r>
  <r>
    <x v="211"/>
    <s v="Emily Martinez"/>
    <x v="1"/>
    <n v="30"/>
    <x v="6"/>
    <x v="20"/>
    <x v="4"/>
    <x v="0"/>
    <x v="208"/>
    <x v="0"/>
    <x v="211"/>
    <n v="2854.01"/>
    <s v="Yes"/>
    <x v="4"/>
    <n v="5"/>
    <n v="4"/>
    <n v="68"/>
    <s v="No"/>
    <n v="3"/>
    <x v="1"/>
    <n v="6"/>
    <s v="No"/>
    <m/>
    <x v="0"/>
    <x v="10"/>
  </r>
  <r>
    <x v="212"/>
    <s v="Susan Wilson"/>
    <x v="1"/>
    <n v="53"/>
    <x v="0"/>
    <x v="0"/>
    <x v="0"/>
    <x v="1"/>
    <x v="209"/>
    <x v="10"/>
    <x v="212"/>
    <n v="2511.37"/>
    <s v="No"/>
    <x v="3"/>
    <n v="5"/>
    <n v="4"/>
    <n v="70"/>
    <s v="Yes"/>
    <n v="22"/>
    <x v="2"/>
    <n v="8"/>
    <s v="Yes"/>
    <d v="2026-01-26T00:00:00"/>
    <x v="1"/>
    <x v="11"/>
  </r>
  <r>
    <x v="213"/>
    <s v="Nancy Lopez"/>
    <x v="1"/>
    <n v="29"/>
    <x v="3"/>
    <x v="18"/>
    <x v="0"/>
    <x v="1"/>
    <x v="210"/>
    <x v="5"/>
    <x v="213"/>
    <n v="5181.28"/>
    <s v="No"/>
    <x v="4"/>
    <n v="3"/>
    <n v="5"/>
    <n v="19"/>
    <s v="No"/>
    <n v="12"/>
    <x v="1"/>
    <n v="13"/>
    <s v="No"/>
    <m/>
    <x v="0"/>
    <x v="2"/>
  </r>
  <r>
    <x v="214"/>
    <s v="Joseph Thompson"/>
    <x v="0"/>
    <n v="48"/>
    <x v="6"/>
    <x v="20"/>
    <x v="0"/>
    <x v="1"/>
    <x v="211"/>
    <x v="12"/>
    <x v="214"/>
    <n v="5973.08"/>
    <s v="No"/>
    <x v="1"/>
    <n v="4"/>
    <n v="5"/>
    <n v="13"/>
    <s v="Yes"/>
    <n v="20"/>
    <x v="2"/>
    <n v="8"/>
    <s v="No"/>
    <m/>
    <x v="0"/>
    <x v="13"/>
  </r>
  <r>
    <x v="215"/>
    <s v="Thomas White"/>
    <x v="0"/>
    <n v="25"/>
    <x v="3"/>
    <x v="22"/>
    <x v="2"/>
    <x v="1"/>
    <x v="212"/>
    <x v="3"/>
    <x v="215"/>
    <n v="3511.7"/>
    <s v="No"/>
    <x v="4"/>
    <n v="2"/>
    <n v="1"/>
    <n v="70"/>
    <s v="No"/>
    <n v="29"/>
    <x v="0"/>
    <n v="15"/>
    <s v="No"/>
    <m/>
    <x v="0"/>
    <x v="13"/>
  </r>
  <r>
    <x v="216"/>
    <s v="Margaret Davis"/>
    <x v="1"/>
    <n v="58"/>
    <x v="3"/>
    <x v="3"/>
    <x v="0"/>
    <x v="1"/>
    <x v="213"/>
    <x v="13"/>
    <x v="216"/>
    <n v="2690.79"/>
    <s v="Yes"/>
    <x v="0"/>
    <n v="5"/>
    <n v="2"/>
    <n v="65"/>
    <s v="Yes"/>
    <n v="6"/>
    <x v="2"/>
    <n v="18"/>
    <s v="No"/>
    <m/>
    <x v="0"/>
    <x v="14"/>
  </r>
  <r>
    <x v="217"/>
    <s v="Paul Lopez"/>
    <x v="0"/>
    <n v="23"/>
    <x v="0"/>
    <x v="19"/>
    <x v="0"/>
    <x v="2"/>
    <x v="168"/>
    <x v="2"/>
    <x v="217"/>
    <n v="6437.55"/>
    <s v="No"/>
    <x v="1"/>
    <n v="4"/>
    <n v="4"/>
    <n v="58"/>
    <s v="No"/>
    <n v="2"/>
    <x v="0"/>
    <n v="10"/>
    <s v="Yes"/>
    <d v="2024-12-03T00:00:00"/>
    <x v="1"/>
    <x v="14"/>
  </r>
  <r>
    <x v="218"/>
    <s v="Sarah Jackson"/>
    <x v="1"/>
    <n v="55"/>
    <x v="4"/>
    <x v="6"/>
    <x v="0"/>
    <x v="2"/>
    <x v="214"/>
    <x v="2"/>
    <x v="218"/>
    <n v="12182.86"/>
    <s v="Yes"/>
    <x v="1"/>
    <n v="4"/>
    <n v="2"/>
    <n v="66"/>
    <s v="No"/>
    <n v="27"/>
    <x v="1"/>
    <n v="15"/>
    <s v="No"/>
    <m/>
    <x v="0"/>
    <x v="10"/>
  </r>
  <r>
    <x v="219"/>
    <s v="Andrew Lewis"/>
    <x v="0"/>
    <n v="29"/>
    <x v="5"/>
    <x v="8"/>
    <x v="0"/>
    <x v="1"/>
    <x v="215"/>
    <x v="3"/>
    <x v="219"/>
    <n v="2247.3000000000002"/>
    <s v="Yes"/>
    <x v="4"/>
    <n v="1"/>
    <n v="2"/>
    <n v="53"/>
    <s v="No"/>
    <n v="24"/>
    <x v="2"/>
    <n v="15"/>
    <s v="No"/>
    <m/>
    <x v="0"/>
    <x v="9"/>
  </r>
  <r>
    <x v="220"/>
    <s v="Kevin Garcia"/>
    <x v="0"/>
    <n v="47"/>
    <x v="2"/>
    <x v="23"/>
    <x v="3"/>
    <x v="1"/>
    <x v="216"/>
    <x v="14"/>
    <x v="220"/>
    <n v="4466.93"/>
    <s v="Yes"/>
    <x v="4"/>
    <n v="2"/>
    <n v="1"/>
    <n v="21"/>
    <s v="No"/>
    <n v="6"/>
    <x v="0"/>
    <n v="12"/>
    <s v="No"/>
    <m/>
    <x v="0"/>
    <x v="11"/>
  </r>
  <r>
    <x v="221"/>
    <s v="Charles Williams"/>
    <x v="0"/>
    <n v="34"/>
    <x v="5"/>
    <x v="14"/>
    <x v="2"/>
    <x v="0"/>
    <x v="217"/>
    <x v="4"/>
    <x v="221"/>
    <n v="8812.33"/>
    <s v="No"/>
    <x v="0"/>
    <n v="5"/>
    <n v="5"/>
    <n v="33"/>
    <s v="Yes"/>
    <n v="22"/>
    <x v="1"/>
    <n v="14"/>
    <s v="No"/>
    <m/>
    <x v="0"/>
    <x v="7"/>
  </r>
  <r>
    <x v="222"/>
    <s v="Anthony Gonzalez"/>
    <x v="0"/>
    <n v="29"/>
    <x v="2"/>
    <x v="25"/>
    <x v="0"/>
    <x v="1"/>
    <x v="218"/>
    <x v="1"/>
    <x v="222"/>
    <n v="7942.55"/>
    <s v="Yes"/>
    <x v="4"/>
    <n v="5"/>
    <n v="1"/>
    <n v="68"/>
    <s v="No"/>
    <n v="4"/>
    <x v="2"/>
    <n v="15"/>
    <s v="No"/>
    <m/>
    <x v="0"/>
    <x v="10"/>
  </r>
  <r>
    <x v="223"/>
    <s v="Mark Taylor"/>
    <x v="0"/>
    <n v="47"/>
    <x v="6"/>
    <x v="17"/>
    <x v="1"/>
    <x v="2"/>
    <x v="219"/>
    <x v="10"/>
    <x v="223"/>
    <n v="6384.99"/>
    <s v="No"/>
    <x v="1"/>
    <n v="5"/>
    <n v="5"/>
    <n v="12"/>
    <s v="No"/>
    <n v="9"/>
    <x v="1"/>
    <n v="7"/>
    <s v="No"/>
    <m/>
    <x v="0"/>
    <x v="7"/>
  </r>
  <r>
    <x v="224"/>
    <s v="Michelle Lewis"/>
    <x v="1"/>
    <n v="55"/>
    <x v="5"/>
    <x v="9"/>
    <x v="0"/>
    <x v="1"/>
    <x v="220"/>
    <x v="7"/>
    <x v="224"/>
    <n v="2637.5"/>
    <s v="Yes"/>
    <x v="0"/>
    <n v="3"/>
    <n v="4"/>
    <n v="46"/>
    <s v="Yes"/>
    <n v="14"/>
    <x v="0"/>
    <n v="18"/>
    <s v="No"/>
    <m/>
    <x v="0"/>
    <x v="4"/>
  </r>
  <r>
    <x v="225"/>
    <s v="Donna Lopez"/>
    <x v="1"/>
    <n v="60"/>
    <x v="6"/>
    <x v="15"/>
    <x v="1"/>
    <x v="2"/>
    <x v="221"/>
    <x v="0"/>
    <x v="225"/>
    <n v="5812.83"/>
    <s v="No"/>
    <x v="4"/>
    <n v="4"/>
    <n v="3"/>
    <n v="39"/>
    <s v="No"/>
    <n v="25"/>
    <x v="0"/>
    <n v="12"/>
    <s v="No"/>
    <m/>
    <x v="0"/>
    <x v="4"/>
  </r>
  <r>
    <x v="226"/>
    <s v="Joseph Anderson"/>
    <x v="0"/>
    <n v="31"/>
    <x v="2"/>
    <x v="23"/>
    <x v="1"/>
    <x v="2"/>
    <x v="222"/>
    <x v="0"/>
    <x v="226"/>
    <n v="7495.63"/>
    <s v="Yes"/>
    <x v="2"/>
    <n v="1"/>
    <n v="1"/>
    <n v="18"/>
    <s v="No"/>
    <n v="20"/>
    <x v="1"/>
    <n v="2"/>
    <s v="Yes"/>
    <d v="2023-03-31T00:00:00"/>
    <x v="1"/>
    <x v="2"/>
  </r>
  <r>
    <x v="227"/>
    <s v="Brian Johnson"/>
    <x v="0"/>
    <n v="45"/>
    <x v="5"/>
    <x v="9"/>
    <x v="1"/>
    <x v="1"/>
    <x v="223"/>
    <x v="5"/>
    <x v="227"/>
    <n v="12250.53"/>
    <s v="No"/>
    <x v="2"/>
    <n v="1"/>
    <n v="2"/>
    <n v="66"/>
    <s v="No"/>
    <n v="2"/>
    <x v="0"/>
    <n v="16"/>
    <s v="No"/>
    <m/>
    <x v="0"/>
    <x v="8"/>
  </r>
  <r>
    <x v="228"/>
    <s v="John Lopez"/>
    <x v="0"/>
    <n v="36"/>
    <x v="3"/>
    <x v="22"/>
    <x v="4"/>
    <x v="0"/>
    <x v="224"/>
    <x v="9"/>
    <x v="228"/>
    <n v="5132.9399999999996"/>
    <s v="No"/>
    <x v="4"/>
    <n v="2"/>
    <n v="5"/>
    <n v="1"/>
    <s v="No"/>
    <n v="3"/>
    <x v="2"/>
    <n v="17"/>
    <s v="No"/>
    <m/>
    <x v="0"/>
    <x v="4"/>
  </r>
  <r>
    <x v="229"/>
    <s v="Lisa Clark"/>
    <x v="1"/>
    <n v="38"/>
    <x v="0"/>
    <x v="0"/>
    <x v="0"/>
    <x v="2"/>
    <x v="225"/>
    <x v="0"/>
    <x v="229"/>
    <n v="1936.88"/>
    <s v="No"/>
    <x v="4"/>
    <n v="1"/>
    <n v="5"/>
    <n v="37"/>
    <s v="No"/>
    <n v="4"/>
    <x v="0"/>
    <n v="8"/>
    <s v="No"/>
    <m/>
    <x v="0"/>
    <x v="4"/>
  </r>
  <r>
    <x v="230"/>
    <s v="Sandra Gonzalez"/>
    <x v="1"/>
    <n v="57"/>
    <x v="5"/>
    <x v="8"/>
    <x v="1"/>
    <x v="2"/>
    <x v="226"/>
    <x v="8"/>
    <x v="230"/>
    <n v="12386.38"/>
    <s v="No"/>
    <x v="1"/>
    <n v="1"/>
    <n v="4"/>
    <n v="28"/>
    <s v="No"/>
    <n v="8"/>
    <x v="1"/>
    <n v="13"/>
    <s v="No"/>
    <m/>
    <x v="0"/>
    <x v="5"/>
  </r>
  <r>
    <x v="231"/>
    <s v="Thomas Davis"/>
    <x v="0"/>
    <n v="39"/>
    <x v="2"/>
    <x v="7"/>
    <x v="1"/>
    <x v="2"/>
    <x v="227"/>
    <x v="5"/>
    <x v="231"/>
    <n v="2829.82"/>
    <s v="No"/>
    <x v="0"/>
    <n v="5"/>
    <n v="3"/>
    <n v="23"/>
    <s v="No"/>
    <n v="22"/>
    <x v="2"/>
    <n v="15"/>
    <s v="No"/>
    <m/>
    <x v="0"/>
    <x v="8"/>
  </r>
  <r>
    <x v="232"/>
    <s v="Thomas Miller"/>
    <x v="0"/>
    <n v="35"/>
    <x v="0"/>
    <x v="0"/>
    <x v="2"/>
    <x v="2"/>
    <x v="228"/>
    <x v="11"/>
    <x v="232"/>
    <n v="3402.95"/>
    <s v="Yes"/>
    <x v="2"/>
    <n v="5"/>
    <n v="1"/>
    <n v="69"/>
    <s v="No"/>
    <n v="28"/>
    <x v="1"/>
    <n v="11"/>
    <s v="No"/>
    <m/>
    <x v="0"/>
    <x v="9"/>
  </r>
  <r>
    <x v="233"/>
    <s v="Ashley Garcia"/>
    <x v="1"/>
    <n v="53"/>
    <x v="6"/>
    <x v="15"/>
    <x v="0"/>
    <x v="1"/>
    <x v="229"/>
    <x v="6"/>
    <x v="233"/>
    <n v="4638.59"/>
    <s v="No"/>
    <x v="4"/>
    <n v="1"/>
    <n v="5"/>
    <n v="44"/>
    <s v="No"/>
    <n v="22"/>
    <x v="2"/>
    <n v="14"/>
    <s v="No"/>
    <m/>
    <x v="0"/>
    <x v="3"/>
  </r>
  <r>
    <x v="234"/>
    <s v="Nancy Thompson"/>
    <x v="1"/>
    <n v="21"/>
    <x v="2"/>
    <x v="23"/>
    <x v="0"/>
    <x v="0"/>
    <x v="230"/>
    <x v="12"/>
    <x v="234"/>
    <n v="7247.4"/>
    <s v="Yes"/>
    <x v="1"/>
    <n v="2"/>
    <n v="3"/>
    <n v="60"/>
    <s v="No"/>
    <n v="11"/>
    <x v="1"/>
    <n v="5"/>
    <s v="No"/>
    <m/>
    <x v="0"/>
    <x v="8"/>
  </r>
  <r>
    <x v="235"/>
    <s v="Lisa Lopez"/>
    <x v="1"/>
    <n v="46"/>
    <x v="6"/>
    <x v="15"/>
    <x v="0"/>
    <x v="0"/>
    <x v="231"/>
    <x v="0"/>
    <x v="235"/>
    <n v="8289.4599999999991"/>
    <s v="No"/>
    <x v="0"/>
    <n v="5"/>
    <n v="4"/>
    <n v="48"/>
    <s v="Yes"/>
    <n v="26"/>
    <x v="0"/>
    <n v="4"/>
    <s v="No"/>
    <m/>
    <x v="0"/>
    <x v="1"/>
  </r>
  <r>
    <x v="236"/>
    <s v="Mark Thomas"/>
    <x v="0"/>
    <n v="29"/>
    <x v="1"/>
    <x v="4"/>
    <x v="1"/>
    <x v="2"/>
    <x v="232"/>
    <x v="10"/>
    <x v="236"/>
    <n v="5920.6"/>
    <s v="No"/>
    <x v="0"/>
    <n v="1"/>
    <n v="2"/>
    <n v="32"/>
    <s v="No"/>
    <n v="21"/>
    <x v="2"/>
    <n v="14"/>
    <s v="No"/>
    <m/>
    <x v="0"/>
    <x v="12"/>
  </r>
  <r>
    <x v="237"/>
    <s v="Lisa Moore"/>
    <x v="1"/>
    <n v="56"/>
    <x v="1"/>
    <x v="4"/>
    <x v="0"/>
    <x v="2"/>
    <x v="233"/>
    <x v="6"/>
    <x v="237"/>
    <n v="5694.08"/>
    <s v="No"/>
    <x v="4"/>
    <n v="5"/>
    <n v="5"/>
    <n v="22"/>
    <s v="No"/>
    <n v="10"/>
    <x v="1"/>
    <n v="10"/>
    <s v="No"/>
    <m/>
    <x v="0"/>
    <x v="9"/>
  </r>
  <r>
    <x v="238"/>
    <s v="Jennifer Gonzalez"/>
    <x v="1"/>
    <n v="60"/>
    <x v="6"/>
    <x v="15"/>
    <x v="1"/>
    <x v="0"/>
    <x v="234"/>
    <x v="11"/>
    <x v="238"/>
    <n v="8981.2099999999991"/>
    <s v="No"/>
    <x v="4"/>
    <n v="5"/>
    <n v="4"/>
    <n v="9"/>
    <s v="Yes"/>
    <n v="11"/>
    <x v="2"/>
    <n v="10"/>
    <s v="No"/>
    <m/>
    <x v="0"/>
    <x v="12"/>
  </r>
  <r>
    <x v="239"/>
    <s v="Michelle Lee"/>
    <x v="1"/>
    <n v="46"/>
    <x v="6"/>
    <x v="15"/>
    <x v="1"/>
    <x v="2"/>
    <x v="235"/>
    <x v="14"/>
    <x v="239"/>
    <n v="4589.8999999999996"/>
    <s v="Yes"/>
    <x v="3"/>
    <n v="2"/>
    <n v="2"/>
    <n v="32"/>
    <s v="No"/>
    <n v="23"/>
    <x v="0"/>
    <n v="2"/>
    <s v="No"/>
    <m/>
    <x v="0"/>
    <x v="0"/>
  </r>
  <r>
    <x v="240"/>
    <s v="Michael Williams"/>
    <x v="0"/>
    <n v="51"/>
    <x v="4"/>
    <x v="5"/>
    <x v="3"/>
    <x v="2"/>
    <x v="236"/>
    <x v="13"/>
    <x v="240"/>
    <n v="3155.46"/>
    <s v="Yes"/>
    <x v="0"/>
    <n v="1"/>
    <n v="4"/>
    <n v="39"/>
    <s v="Yes"/>
    <n v="24"/>
    <x v="1"/>
    <n v="14"/>
    <s v="No"/>
    <m/>
    <x v="0"/>
    <x v="13"/>
  </r>
  <r>
    <x v="241"/>
    <s v="James Johnson"/>
    <x v="0"/>
    <n v="43"/>
    <x v="1"/>
    <x v="4"/>
    <x v="2"/>
    <x v="2"/>
    <x v="237"/>
    <x v="0"/>
    <x v="241"/>
    <n v="7464.01"/>
    <s v="Yes"/>
    <x v="4"/>
    <n v="2"/>
    <n v="5"/>
    <n v="76"/>
    <s v="No"/>
    <n v="24"/>
    <x v="0"/>
    <n v="18"/>
    <s v="No"/>
    <m/>
    <x v="0"/>
    <x v="14"/>
  </r>
  <r>
    <x v="242"/>
    <s v="Lisa Thomas"/>
    <x v="1"/>
    <n v="55"/>
    <x v="0"/>
    <x v="16"/>
    <x v="0"/>
    <x v="2"/>
    <x v="238"/>
    <x v="1"/>
    <x v="242"/>
    <n v="3680.11"/>
    <s v="Yes"/>
    <x v="0"/>
    <n v="3"/>
    <n v="3"/>
    <n v="60"/>
    <s v="No"/>
    <n v="23"/>
    <x v="1"/>
    <n v="15"/>
    <s v="No"/>
    <m/>
    <x v="0"/>
    <x v="6"/>
  </r>
  <r>
    <x v="243"/>
    <s v="Karen Martin"/>
    <x v="1"/>
    <n v="35"/>
    <x v="1"/>
    <x v="1"/>
    <x v="1"/>
    <x v="0"/>
    <x v="42"/>
    <x v="1"/>
    <x v="243"/>
    <n v="6077.39"/>
    <s v="Yes"/>
    <x v="2"/>
    <n v="4"/>
    <n v="2"/>
    <n v="33"/>
    <s v="Yes"/>
    <n v="21"/>
    <x v="2"/>
    <n v="16"/>
    <s v="No"/>
    <m/>
    <x v="0"/>
    <x v="10"/>
  </r>
  <r>
    <x v="244"/>
    <s v="Karen Lee"/>
    <x v="1"/>
    <n v="55"/>
    <x v="1"/>
    <x v="4"/>
    <x v="0"/>
    <x v="0"/>
    <x v="239"/>
    <x v="4"/>
    <x v="244"/>
    <n v="1436.75"/>
    <s v="No"/>
    <x v="2"/>
    <n v="3"/>
    <n v="5"/>
    <n v="62"/>
    <s v="Yes"/>
    <n v="1"/>
    <x v="2"/>
    <n v="1"/>
    <s v="No"/>
    <m/>
    <x v="0"/>
    <x v="1"/>
  </r>
  <r>
    <x v="245"/>
    <s v="Michael Martinez"/>
    <x v="0"/>
    <n v="38"/>
    <x v="0"/>
    <x v="19"/>
    <x v="1"/>
    <x v="0"/>
    <x v="240"/>
    <x v="6"/>
    <x v="245"/>
    <n v="4611.79"/>
    <s v="No"/>
    <x v="1"/>
    <n v="4"/>
    <n v="3"/>
    <n v="59"/>
    <s v="No"/>
    <n v="2"/>
    <x v="1"/>
    <n v="2"/>
    <s v="No"/>
    <m/>
    <x v="0"/>
    <x v="13"/>
  </r>
  <r>
    <x v="246"/>
    <s v="Thomas Harris"/>
    <x v="0"/>
    <n v="46"/>
    <x v="2"/>
    <x v="7"/>
    <x v="0"/>
    <x v="2"/>
    <x v="200"/>
    <x v="2"/>
    <x v="246"/>
    <n v="2888.26"/>
    <s v="No"/>
    <x v="0"/>
    <n v="4"/>
    <n v="4"/>
    <n v="31"/>
    <s v="No"/>
    <n v="2"/>
    <x v="2"/>
    <n v="14"/>
    <s v="No"/>
    <m/>
    <x v="0"/>
    <x v="7"/>
  </r>
  <r>
    <x v="247"/>
    <s v="Paul Gonzalez"/>
    <x v="0"/>
    <n v="40"/>
    <x v="6"/>
    <x v="24"/>
    <x v="1"/>
    <x v="0"/>
    <x v="241"/>
    <x v="0"/>
    <x v="247"/>
    <n v="3093.36"/>
    <s v="No"/>
    <x v="0"/>
    <n v="3"/>
    <n v="1"/>
    <n v="27"/>
    <s v="No"/>
    <n v="8"/>
    <x v="0"/>
    <n v="13"/>
    <s v="No"/>
    <m/>
    <x v="0"/>
    <x v="13"/>
  </r>
  <r>
    <x v="248"/>
    <s v="Donna Brown"/>
    <x v="1"/>
    <n v="46"/>
    <x v="1"/>
    <x v="10"/>
    <x v="3"/>
    <x v="0"/>
    <x v="242"/>
    <x v="14"/>
    <x v="248"/>
    <n v="6066.31"/>
    <s v="No"/>
    <x v="1"/>
    <n v="1"/>
    <n v="2"/>
    <n v="20"/>
    <s v="No"/>
    <n v="22"/>
    <x v="0"/>
    <n v="10"/>
    <s v="No"/>
    <m/>
    <x v="0"/>
    <x v="6"/>
  </r>
  <r>
    <x v="249"/>
    <s v="John Lopez"/>
    <x v="0"/>
    <n v="30"/>
    <x v="3"/>
    <x v="22"/>
    <x v="0"/>
    <x v="0"/>
    <x v="243"/>
    <x v="12"/>
    <x v="249"/>
    <n v="10902.7"/>
    <s v="No"/>
    <x v="2"/>
    <n v="2"/>
    <n v="1"/>
    <n v="48"/>
    <s v="No"/>
    <n v="5"/>
    <x v="1"/>
    <n v="1"/>
    <s v="No"/>
    <m/>
    <x v="0"/>
    <x v="9"/>
  </r>
  <r>
    <x v="250"/>
    <s v="Emily Thompson"/>
    <x v="1"/>
    <n v="52"/>
    <x v="0"/>
    <x v="0"/>
    <x v="1"/>
    <x v="2"/>
    <x v="244"/>
    <x v="8"/>
    <x v="250"/>
    <n v="8055.44"/>
    <s v="No"/>
    <x v="4"/>
    <n v="2"/>
    <n v="1"/>
    <n v="67"/>
    <s v="Yes"/>
    <n v="10"/>
    <x v="1"/>
    <n v="17"/>
    <s v="No"/>
    <m/>
    <x v="0"/>
    <x v="1"/>
  </r>
  <r>
    <x v="251"/>
    <s v="Barbara Lewis"/>
    <x v="1"/>
    <n v="22"/>
    <x v="4"/>
    <x v="21"/>
    <x v="1"/>
    <x v="0"/>
    <x v="245"/>
    <x v="12"/>
    <x v="251"/>
    <n v="10460.129999999999"/>
    <s v="No"/>
    <x v="2"/>
    <n v="2"/>
    <n v="5"/>
    <n v="63"/>
    <s v="No"/>
    <n v="5"/>
    <x v="0"/>
    <n v="9"/>
    <s v="No"/>
    <m/>
    <x v="0"/>
    <x v="14"/>
  </r>
  <r>
    <x v="252"/>
    <s v="Linda Brown"/>
    <x v="1"/>
    <n v="54"/>
    <x v="3"/>
    <x v="22"/>
    <x v="3"/>
    <x v="0"/>
    <x v="246"/>
    <x v="4"/>
    <x v="252"/>
    <n v="3842.38"/>
    <s v="No"/>
    <x v="3"/>
    <n v="1"/>
    <n v="5"/>
    <n v="49"/>
    <s v="No"/>
    <n v="17"/>
    <x v="0"/>
    <n v="18"/>
    <s v="No"/>
    <m/>
    <x v="0"/>
    <x v="2"/>
  </r>
  <r>
    <x v="253"/>
    <s v="Brian Thompson"/>
    <x v="0"/>
    <n v="25"/>
    <x v="2"/>
    <x v="23"/>
    <x v="1"/>
    <x v="0"/>
    <x v="247"/>
    <x v="8"/>
    <x v="253"/>
    <n v="2204.96"/>
    <s v="No"/>
    <x v="2"/>
    <n v="3"/>
    <n v="1"/>
    <n v="78"/>
    <s v="No"/>
    <n v="2"/>
    <x v="0"/>
    <n v="2"/>
    <s v="No"/>
    <m/>
    <x v="0"/>
    <x v="7"/>
  </r>
  <r>
    <x v="254"/>
    <s v="Andrew Brown"/>
    <x v="0"/>
    <n v="27"/>
    <x v="3"/>
    <x v="18"/>
    <x v="1"/>
    <x v="0"/>
    <x v="248"/>
    <x v="4"/>
    <x v="254"/>
    <n v="3346.6"/>
    <s v="No"/>
    <x v="0"/>
    <n v="5"/>
    <n v="5"/>
    <n v="53"/>
    <s v="No"/>
    <n v="25"/>
    <x v="0"/>
    <n v="18"/>
    <s v="No"/>
    <m/>
    <x v="0"/>
    <x v="9"/>
  </r>
  <r>
    <x v="255"/>
    <s v="Linda Garcia"/>
    <x v="1"/>
    <n v="32"/>
    <x v="4"/>
    <x v="26"/>
    <x v="1"/>
    <x v="1"/>
    <x v="249"/>
    <x v="11"/>
    <x v="255"/>
    <n v="8333.24"/>
    <s v="No"/>
    <x v="1"/>
    <n v="5"/>
    <n v="3"/>
    <n v="47"/>
    <s v="No"/>
    <n v="21"/>
    <x v="1"/>
    <n v="10"/>
    <s v="No"/>
    <m/>
    <x v="0"/>
    <x v="11"/>
  </r>
  <r>
    <x v="256"/>
    <s v="Anthony Harris"/>
    <x v="0"/>
    <n v="56"/>
    <x v="3"/>
    <x v="3"/>
    <x v="0"/>
    <x v="2"/>
    <x v="250"/>
    <x v="8"/>
    <x v="256"/>
    <n v="1758.04"/>
    <s v="Yes"/>
    <x v="1"/>
    <n v="5"/>
    <n v="1"/>
    <n v="66"/>
    <s v="Yes"/>
    <n v="29"/>
    <x v="1"/>
    <n v="0"/>
    <s v="No"/>
    <m/>
    <x v="0"/>
    <x v="8"/>
  </r>
  <r>
    <x v="257"/>
    <s v="Daniel Smith"/>
    <x v="0"/>
    <n v="38"/>
    <x v="4"/>
    <x v="6"/>
    <x v="3"/>
    <x v="2"/>
    <x v="251"/>
    <x v="12"/>
    <x v="257"/>
    <n v="3087.67"/>
    <s v="No"/>
    <x v="0"/>
    <n v="2"/>
    <n v="3"/>
    <n v="38"/>
    <s v="Yes"/>
    <n v="13"/>
    <x v="0"/>
    <n v="6"/>
    <s v="No"/>
    <m/>
    <x v="0"/>
    <x v="3"/>
  </r>
  <r>
    <x v="258"/>
    <s v="Ashley Garcia"/>
    <x v="1"/>
    <n v="52"/>
    <x v="1"/>
    <x v="1"/>
    <x v="1"/>
    <x v="2"/>
    <x v="252"/>
    <x v="7"/>
    <x v="258"/>
    <n v="6790.3"/>
    <s v="Yes"/>
    <x v="3"/>
    <n v="3"/>
    <n v="3"/>
    <n v="55"/>
    <s v="No"/>
    <n v="28"/>
    <x v="2"/>
    <n v="7"/>
    <s v="No"/>
    <m/>
    <x v="0"/>
    <x v="4"/>
  </r>
  <r>
    <x v="259"/>
    <s v="Anthony Johnson"/>
    <x v="0"/>
    <n v="40"/>
    <x v="4"/>
    <x v="5"/>
    <x v="0"/>
    <x v="1"/>
    <x v="253"/>
    <x v="11"/>
    <x v="259"/>
    <n v="7695.71"/>
    <s v="Yes"/>
    <x v="2"/>
    <n v="4"/>
    <n v="5"/>
    <n v="73"/>
    <s v="No"/>
    <n v="8"/>
    <x v="1"/>
    <n v="9"/>
    <s v="No"/>
    <m/>
    <x v="0"/>
    <x v="13"/>
  </r>
  <r>
    <x v="260"/>
    <s v="Daniel Williams"/>
    <x v="0"/>
    <n v="51"/>
    <x v="4"/>
    <x v="5"/>
    <x v="1"/>
    <x v="2"/>
    <x v="254"/>
    <x v="5"/>
    <x v="260"/>
    <n v="5727.84"/>
    <s v="No"/>
    <x v="0"/>
    <n v="4"/>
    <n v="5"/>
    <n v="25"/>
    <s v="No"/>
    <n v="21"/>
    <x v="0"/>
    <n v="6"/>
    <s v="No"/>
    <m/>
    <x v="0"/>
    <x v="3"/>
  </r>
  <r>
    <x v="261"/>
    <s v="Joseph Williams"/>
    <x v="0"/>
    <n v="38"/>
    <x v="1"/>
    <x v="12"/>
    <x v="0"/>
    <x v="1"/>
    <x v="255"/>
    <x v="6"/>
    <x v="261"/>
    <n v="2996.84"/>
    <s v="No"/>
    <x v="0"/>
    <n v="3"/>
    <n v="3"/>
    <n v="76"/>
    <s v="No"/>
    <n v="25"/>
    <x v="1"/>
    <n v="5"/>
    <s v="No"/>
    <m/>
    <x v="0"/>
    <x v="11"/>
  </r>
  <r>
    <x v="262"/>
    <s v="Michelle Jones"/>
    <x v="1"/>
    <n v="49"/>
    <x v="2"/>
    <x v="23"/>
    <x v="0"/>
    <x v="2"/>
    <x v="228"/>
    <x v="11"/>
    <x v="262"/>
    <n v="10033.69"/>
    <s v="Yes"/>
    <x v="3"/>
    <n v="2"/>
    <n v="5"/>
    <n v="18"/>
    <s v="No"/>
    <n v="27"/>
    <x v="1"/>
    <n v="0"/>
    <s v="No"/>
    <m/>
    <x v="0"/>
    <x v="6"/>
  </r>
  <r>
    <x v="263"/>
    <s v="Charles Anderson"/>
    <x v="0"/>
    <n v="51"/>
    <x v="2"/>
    <x v="2"/>
    <x v="0"/>
    <x v="1"/>
    <x v="256"/>
    <x v="4"/>
    <x v="263"/>
    <n v="4067.53"/>
    <s v="Yes"/>
    <x v="2"/>
    <n v="5"/>
    <n v="2"/>
    <n v="2"/>
    <s v="No"/>
    <n v="29"/>
    <x v="0"/>
    <n v="16"/>
    <s v="Yes"/>
    <d v="2022-12-15T00:00:00"/>
    <x v="1"/>
    <x v="1"/>
  </r>
  <r>
    <x v="264"/>
    <s v="Susan Sanchez"/>
    <x v="1"/>
    <n v="60"/>
    <x v="6"/>
    <x v="17"/>
    <x v="0"/>
    <x v="0"/>
    <x v="257"/>
    <x v="5"/>
    <x v="264"/>
    <n v="2901.09"/>
    <s v="No"/>
    <x v="1"/>
    <n v="1"/>
    <n v="1"/>
    <n v="37"/>
    <s v="No"/>
    <n v="21"/>
    <x v="1"/>
    <n v="7"/>
    <s v="No"/>
    <m/>
    <x v="0"/>
    <x v="5"/>
  </r>
  <r>
    <x v="265"/>
    <s v="Daniel Thomas"/>
    <x v="0"/>
    <n v="59"/>
    <x v="4"/>
    <x v="5"/>
    <x v="0"/>
    <x v="1"/>
    <x v="258"/>
    <x v="8"/>
    <x v="265"/>
    <n v="9803.83"/>
    <s v="Yes"/>
    <x v="4"/>
    <n v="3"/>
    <n v="3"/>
    <n v="62"/>
    <s v="No"/>
    <n v="6"/>
    <x v="2"/>
    <n v="11"/>
    <s v="No"/>
    <m/>
    <x v="0"/>
    <x v="2"/>
  </r>
  <r>
    <x v="266"/>
    <s v="Jessica Taylor"/>
    <x v="1"/>
    <n v="38"/>
    <x v="1"/>
    <x v="1"/>
    <x v="1"/>
    <x v="2"/>
    <x v="259"/>
    <x v="7"/>
    <x v="266"/>
    <n v="11787.24"/>
    <s v="Yes"/>
    <x v="1"/>
    <n v="4"/>
    <n v="2"/>
    <n v="11"/>
    <s v="No"/>
    <n v="17"/>
    <x v="0"/>
    <n v="19"/>
    <s v="No"/>
    <m/>
    <x v="0"/>
    <x v="14"/>
  </r>
  <r>
    <x v="267"/>
    <s v="Mark Davis"/>
    <x v="0"/>
    <n v="57"/>
    <x v="0"/>
    <x v="19"/>
    <x v="4"/>
    <x v="1"/>
    <x v="260"/>
    <x v="12"/>
    <x v="267"/>
    <n v="2754.93"/>
    <s v="No"/>
    <x v="4"/>
    <n v="5"/>
    <n v="2"/>
    <n v="17"/>
    <s v="No"/>
    <n v="23"/>
    <x v="0"/>
    <n v="4"/>
    <s v="No"/>
    <m/>
    <x v="0"/>
    <x v="10"/>
  </r>
  <r>
    <x v="268"/>
    <s v="Kevin Robinson"/>
    <x v="0"/>
    <n v="31"/>
    <x v="6"/>
    <x v="17"/>
    <x v="1"/>
    <x v="1"/>
    <x v="261"/>
    <x v="6"/>
    <x v="268"/>
    <n v="5589.87"/>
    <s v="Yes"/>
    <x v="3"/>
    <n v="3"/>
    <n v="4"/>
    <n v="52"/>
    <s v="No"/>
    <n v="24"/>
    <x v="0"/>
    <n v="8"/>
    <s v="Yes"/>
    <d v="2023-01-20T00:00:00"/>
    <x v="1"/>
    <x v="7"/>
  </r>
  <r>
    <x v="269"/>
    <s v="David Smith"/>
    <x v="0"/>
    <n v="60"/>
    <x v="4"/>
    <x v="21"/>
    <x v="1"/>
    <x v="1"/>
    <x v="262"/>
    <x v="10"/>
    <x v="269"/>
    <n v="4488.0200000000004"/>
    <s v="Yes"/>
    <x v="3"/>
    <n v="4"/>
    <n v="2"/>
    <n v="64"/>
    <s v="No"/>
    <n v="16"/>
    <x v="0"/>
    <n v="20"/>
    <s v="No"/>
    <m/>
    <x v="0"/>
    <x v="4"/>
  </r>
  <r>
    <x v="270"/>
    <s v="Ashley Thomas"/>
    <x v="1"/>
    <n v="29"/>
    <x v="0"/>
    <x v="0"/>
    <x v="0"/>
    <x v="2"/>
    <x v="263"/>
    <x v="7"/>
    <x v="270"/>
    <n v="15092.2"/>
    <s v="Yes"/>
    <x v="0"/>
    <n v="2"/>
    <n v="1"/>
    <n v="22"/>
    <s v="No"/>
    <n v="15"/>
    <x v="0"/>
    <n v="15"/>
    <s v="No"/>
    <m/>
    <x v="0"/>
    <x v="4"/>
  </r>
  <r>
    <x v="271"/>
    <s v="Jessica Wilson"/>
    <x v="1"/>
    <n v="46"/>
    <x v="1"/>
    <x v="1"/>
    <x v="1"/>
    <x v="2"/>
    <x v="264"/>
    <x v="12"/>
    <x v="271"/>
    <n v="7773.29"/>
    <s v="No"/>
    <x v="4"/>
    <n v="5"/>
    <n v="1"/>
    <n v="66"/>
    <s v="Yes"/>
    <n v="15"/>
    <x v="2"/>
    <n v="7"/>
    <s v="No"/>
    <m/>
    <x v="0"/>
    <x v="0"/>
  </r>
  <r>
    <x v="272"/>
    <s v="Joshua Gonzalez"/>
    <x v="0"/>
    <n v="54"/>
    <x v="1"/>
    <x v="1"/>
    <x v="0"/>
    <x v="2"/>
    <x v="146"/>
    <x v="2"/>
    <x v="272"/>
    <n v="9552.18"/>
    <s v="Yes"/>
    <x v="0"/>
    <n v="4"/>
    <n v="3"/>
    <n v="78"/>
    <s v="No"/>
    <n v="23"/>
    <x v="0"/>
    <n v="4"/>
    <s v="No"/>
    <m/>
    <x v="0"/>
    <x v="14"/>
  </r>
  <r>
    <x v="273"/>
    <s v="Jennifer White"/>
    <x v="1"/>
    <n v="53"/>
    <x v="2"/>
    <x v="23"/>
    <x v="1"/>
    <x v="1"/>
    <x v="265"/>
    <x v="0"/>
    <x v="273"/>
    <n v="3130.63"/>
    <s v="No"/>
    <x v="0"/>
    <n v="4"/>
    <n v="5"/>
    <n v="25"/>
    <s v="No"/>
    <n v="3"/>
    <x v="1"/>
    <n v="10"/>
    <s v="No"/>
    <m/>
    <x v="0"/>
    <x v="10"/>
  </r>
  <r>
    <x v="274"/>
    <s v="Michael Williams"/>
    <x v="0"/>
    <n v="28"/>
    <x v="3"/>
    <x v="27"/>
    <x v="1"/>
    <x v="0"/>
    <x v="266"/>
    <x v="13"/>
    <x v="274"/>
    <n v="8461.1200000000008"/>
    <s v="No"/>
    <x v="4"/>
    <n v="2"/>
    <n v="4"/>
    <n v="70"/>
    <s v="No"/>
    <n v="25"/>
    <x v="2"/>
    <n v="10"/>
    <s v="No"/>
    <m/>
    <x v="0"/>
    <x v="14"/>
  </r>
  <r>
    <x v="275"/>
    <s v="David Ramirez"/>
    <x v="0"/>
    <n v="30"/>
    <x v="0"/>
    <x v="16"/>
    <x v="0"/>
    <x v="2"/>
    <x v="267"/>
    <x v="8"/>
    <x v="275"/>
    <n v="2773.42"/>
    <s v="No"/>
    <x v="0"/>
    <n v="1"/>
    <n v="5"/>
    <n v="32"/>
    <s v="Yes"/>
    <n v="16"/>
    <x v="1"/>
    <n v="17"/>
    <s v="No"/>
    <m/>
    <x v="0"/>
    <x v="11"/>
  </r>
  <r>
    <x v="276"/>
    <s v="Jessica Miller"/>
    <x v="1"/>
    <n v="58"/>
    <x v="3"/>
    <x v="27"/>
    <x v="0"/>
    <x v="2"/>
    <x v="268"/>
    <x v="5"/>
    <x v="276"/>
    <n v="1419.5"/>
    <s v="No"/>
    <x v="1"/>
    <n v="5"/>
    <n v="5"/>
    <n v="26"/>
    <s v="Yes"/>
    <n v="5"/>
    <x v="2"/>
    <n v="20"/>
    <s v="No"/>
    <m/>
    <x v="0"/>
    <x v="13"/>
  </r>
  <r>
    <x v="277"/>
    <s v="Kevin Clark"/>
    <x v="0"/>
    <n v="59"/>
    <x v="6"/>
    <x v="20"/>
    <x v="4"/>
    <x v="0"/>
    <x v="269"/>
    <x v="6"/>
    <x v="277"/>
    <n v="2321.0700000000002"/>
    <s v="No"/>
    <x v="4"/>
    <n v="5"/>
    <n v="5"/>
    <n v="71"/>
    <s v="Yes"/>
    <n v="15"/>
    <x v="0"/>
    <n v="18"/>
    <s v="No"/>
    <m/>
    <x v="0"/>
    <x v="1"/>
  </r>
  <r>
    <x v="278"/>
    <s v="Charles Hernandez"/>
    <x v="0"/>
    <n v="44"/>
    <x v="5"/>
    <x v="13"/>
    <x v="1"/>
    <x v="1"/>
    <x v="270"/>
    <x v="5"/>
    <x v="278"/>
    <n v="2158.35"/>
    <s v="No"/>
    <x v="1"/>
    <n v="3"/>
    <n v="5"/>
    <n v="52"/>
    <s v="No"/>
    <n v="23"/>
    <x v="2"/>
    <n v="19"/>
    <s v="Yes"/>
    <d v="2025-03-16T00:00:00"/>
    <x v="1"/>
    <x v="3"/>
  </r>
  <r>
    <x v="279"/>
    <s v="Paul White"/>
    <x v="0"/>
    <n v="59"/>
    <x v="1"/>
    <x v="4"/>
    <x v="0"/>
    <x v="2"/>
    <x v="271"/>
    <x v="10"/>
    <x v="279"/>
    <n v="9150.7999999999993"/>
    <s v="No"/>
    <x v="0"/>
    <n v="5"/>
    <n v="5"/>
    <n v="63"/>
    <s v="No"/>
    <n v="21"/>
    <x v="1"/>
    <n v="15"/>
    <s v="No"/>
    <m/>
    <x v="0"/>
    <x v="10"/>
  </r>
  <r>
    <x v="280"/>
    <s v="Charles Miller"/>
    <x v="0"/>
    <n v="21"/>
    <x v="2"/>
    <x v="25"/>
    <x v="0"/>
    <x v="0"/>
    <x v="272"/>
    <x v="4"/>
    <x v="280"/>
    <n v="11836.01"/>
    <s v="No"/>
    <x v="1"/>
    <n v="3"/>
    <n v="5"/>
    <n v="27"/>
    <s v="Yes"/>
    <n v="7"/>
    <x v="0"/>
    <n v="9"/>
    <s v="No"/>
    <m/>
    <x v="0"/>
    <x v="7"/>
  </r>
  <r>
    <x v="281"/>
    <s v="Karen Taylor"/>
    <x v="1"/>
    <n v="56"/>
    <x v="6"/>
    <x v="17"/>
    <x v="0"/>
    <x v="2"/>
    <x v="273"/>
    <x v="12"/>
    <x v="281"/>
    <n v="4963.17"/>
    <s v="No"/>
    <x v="0"/>
    <n v="2"/>
    <n v="3"/>
    <n v="43"/>
    <s v="No"/>
    <n v="16"/>
    <x v="1"/>
    <n v="1"/>
    <s v="No"/>
    <m/>
    <x v="0"/>
    <x v="9"/>
  </r>
  <r>
    <x v="282"/>
    <s v="Steven Lewis"/>
    <x v="0"/>
    <n v="55"/>
    <x v="6"/>
    <x v="15"/>
    <x v="1"/>
    <x v="2"/>
    <x v="274"/>
    <x v="5"/>
    <x v="282"/>
    <n v="4276.01"/>
    <s v="No"/>
    <x v="1"/>
    <n v="5"/>
    <n v="5"/>
    <n v="2"/>
    <s v="Yes"/>
    <n v="22"/>
    <x v="1"/>
    <n v="11"/>
    <s v="Yes"/>
    <d v="2022-11-02T00:00:00"/>
    <x v="1"/>
    <x v="12"/>
  </r>
  <r>
    <x v="283"/>
    <s v="Daniel Gonzalez"/>
    <x v="0"/>
    <n v="55"/>
    <x v="1"/>
    <x v="10"/>
    <x v="1"/>
    <x v="2"/>
    <x v="275"/>
    <x v="4"/>
    <x v="283"/>
    <n v="8573.99"/>
    <s v="No"/>
    <x v="1"/>
    <n v="1"/>
    <n v="3"/>
    <n v="52"/>
    <s v="Yes"/>
    <n v="29"/>
    <x v="2"/>
    <n v="11"/>
    <s v="No"/>
    <m/>
    <x v="0"/>
    <x v="12"/>
  </r>
  <r>
    <x v="284"/>
    <s v="Andrew Martinez"/>
    <x v="0"/>
    <n v="32"/>
    <x v="2"/>
    <x v="2"/>
    <x v="1"/>
    <x v="0"/>
    <x v="276"/>
    <x v="6"/>
    <x v="284"/>
    <n v="1380.72"/>
    <s v="No"/>
    <x v="4"/>
    <n v="2"/>
    <n v="2"/>
    <n v="43"/>
    <s v="No"/>
    <n v="24"/>
    <x v="0"/>
    <n v="9"/>
    <s v="No"/>
    <m/>
    <x v="0"/>
    <x v="13"/>
  </r>
  <r>
    <x v="285"/>
    <s v="Andrew Perez"/>
    <x v="0"/>
    <n v="29"/>
    <x v="0"/>
    <x v="16"/>
    <x v="0"/>
    <x v="1"/>
    <x v="277"/>
    <x v="13"/>
    <x v="285"/>
    <n v="3174.22"/>
    <s v="Yes"/>
    <x v="4"/>
    <n v="1"/>
    <n v="3"/>
    <n v="59"/>
    <s v="No"/>
    <n v="4"/>
    <x v="0"/>
    <n v="9"/>
    <s v="Yes"/>
    <d v="2026-04-03T00:00:00"/>
    <x v="1"/>
    <x v="12"/>
  </r>
  <r>
    <x v="286"/>
    <s v="Daniel Miller"/>
    <x v="0"/>
    <n v="33"/>
    <x v="6"/>
    <x v="20"/>
    <x v="1"/>
    <x v="2"/>
    <x v="278"/>
    <x v="6"/>
    <x v="286"/>
    <n v="1913.21"/>
    <s v="Yes"/>
    <x v="4"/>
    <n v="5"/>
    <n v="5"/>
    <n v="13"/>
    <s v="Yes"/>
    <n v="12"/>
    <x v="0"/>
    <n v="10"/>
    <s v="No"/>
    <m/>
    <x v="0"/>
    <x v="3"/>
  </r>
  <r>
    <x v="287"/>
    <s v="Donna Davis"/>
    <x v="1"/>
    <n v="31"/>
    <x v="2"/>
    <x v="2"/>
    <x v="1"/>
    <x v="2"/>
    <x v="237"/>
    <x v="0"/>
    <x v="287"/>
    <n v="2192.4499999999998"/>
    <s v="No"/>
    <x v="3"/>
    <n v="1"/>
    <n v="4"/>
    <n v="6"/>
    <s v="Yes"/>
    <n v="13"/>
    <x v="2"/>
    <n v="19"/>
    <s v="No"/>
    <m/>
    <x v="0"/>
    <x v="14"/>
  </r>
  <r>
    <x v="288"/>
    <s v="Michelle Lopez"/>
    <x v="1"/>
    <n v="40"/>
    <x v="6"/>
    <x v="24"/>
    <x v="1"/>
    <x v="1"/>
    <x v="279"/>
    <x v="13"/>
    <x v="288"/>
    <n v="5393.37"/>
    <s v="No"/>
    <x v="4"/>
    <n v="2"/>
    <n v="1"/>
    <n v="59"/>
    <s v="Yes"/>
    <n v="10"/>
    <x v="0"/>
    <n v="20"/>
    <s v="No"/>
    <m/>
    <x v="0"/>
    <x v="9"/>
  </r>
  <r>
    <x v="289"/>
    <s v="Jessica Davis"/>
    <x v="1"/>
    <n v="30"/>
    <x v="1"/>
    <x v="4"/>
    <x v="4"/>
    <x v="2"/>
    <x v="280"/>
    <x v="4"/>
    <x v="289"/>
    <n v="7451.09"/>
    <s v="No"/>
    <x v="1"/>
    <n v="4"/>
    <n v="4"/>
    <n v="3"/>
    <s v="Yes"/>
    <n v="4"/>
    <x v="1"/>
    <n v="15"/>
    <s v="No"/>
    <m/>
    <x v="0"/>
    <x v="13"/>
  </r>
  <r>
    <x v="290"/>
    <s v="Lisa Martin"/>
    <x v="1"/>
    <n v="57"/>
    <x v="0"/>
    <x v="16"/>
    <x v="0"/>
    <x v="1"/>
    <x v="281"/>
    <x v="6"/>
    <x v="290"/>
    <n v="6911.25"/>
    <s v="No"/>
    <x v="4"/>
    <n v="4"/>
    <n v="4"/>
    <n v="75"/>
    <s v="No"/>
    <n v="20"/>
    <x v="2"/>
    <n v="17"/>
    <s v="Yes"/>
    <d v="2024-09-14T00:00:00"/>
    <x v="1"/>
    <x v="0"/>
  </r>
  <r>
    <x v="291"/>
    <s v="Daniel Miller"/>
    <x v="0"/>
    <n v="58"/>
    <x v="5"/>
    <x v="14"/>
    <x v="1"/>
    <x v="2"/>
    <x v="282"/>
    <x v="0"/>
    <x v="291"/>
    <n v="3470.13"/>
    <s v="No"/>
    <x v="4"/>
    <n v="4"/>
    <n v="1"/>
    <n v="75"/>
    <s v="No"/>
    <n v="11"/>
    <x v="0"/>
    <n v="3"/>
    <s v="No"/>
    <m/>
    <x v="0"/>
    <x v="13"/>
  </r>
  <r>
    <x v="292"/>
    <s v="Margaret Williams"/>
    <x v="1"/>
    <n v="59"/>
    <x v="2"/>
    <x v="7"/>
    <x v="0"/>
    <x v="1"/>
    <x v="283"/>
    <x v="3"/>
    <x v="292"/>
    <n v="1853.43"/>
    <s v="Yes"/>
    <x v="4"/>
    <n v="1"/>
    <n v="2"/>
    <n v="19"/>
    <s v="No"/>
    <n v="10"/>
    <x v="1"/>
    <n v="19"/>
    <s v="No"/>
    <m/>
    <x v="0"/>
    <x v="8"/>
  </r>
  <r>
    <x v="293"/>
    <s v="Daniel Martinez"/>
    <x v="0"/>
    <n v="57"/>
    <x v="1"/>
    <x v="4"/>
    <x v="4"/>
    <x v="2"/>
    <x v="284"/>
    <x v="12"/>
    <x v="293"/>
    <n v="8092.64"/>
    <s v="No"/>
    <x v="4"/>
    <n v="4"/>
    <n v="2"/>
    <n v="37"/>
    <s v="Yes"/>
    <n v="29"/>
    <x v="0"/>
    <n v="1"/>
    <s v="Yes"/>
    <d v="2025-02-20T00:00:00"/>
    <x v="1"/>
    <x v="4"/>
  </r>
  <r>
    <x v="294"/>
    <s v="Linda Ramirez"/>
    <x v="1"/>
    <n v="39"/>
    <x v="1"/>
    <x v="1"/>
    <x v="0"/>
    <x v="1"/>
    <x v="285"/>
    <x v="14"/>
    <x v="294"/>
    <n v="3357.03"/>
    <s v="No"/>
    <x v="2"/>
    <n v="4"/>
    <n v="5"/>
    <n v="27"/>
    <s v="No"/>
    <n v="16"/>
    <x v="2"/>
    <n v="6"/>
    <s v="No"/>
    <m/>
    <x v="0"/>
    <x v="4"/>
  </r>
  <r>
    <x v="295"/>
    <s v="Betty Jones"/>
    <x v="1"/>
    <n v="39"/>
    <x v="1"/>
    <x v="10"/>
    <x v="0"/>
    <x v="0"/>
    <x v="286"/>
    <x v="3"/>
    <x v="295"/>
    <n v="4071.45"/>
    <s v="No"/>
    <x v="2"/>
    <n v="2"/>
    <n v="1"/>
    <n v="17"/>
    <s v="No"/>
    <n v="14"/>
    <x v="1"/>
    <n v="19"/>
    <s v="No"/>
    <m/>
    <x v="0"/>
    <x v="11"/>
  </r>
  <r>
    <x v="296"/>
    <s v="Steven Taylor"/>
    <x v="0"/>
    <n v="48"/>
    <x v="4"/>
    <x v="26"/>
    <x v="0"/>
    <x v="0"/>
    <x v="287"/>
    <x v="4"/>
    <x v="296"/>
    <n v="1611.39"/>
    <s v="No"/>
    <x v="0"/>
    <n v="5"/>
    <n v="3"/>
    <n v="52"/>
    <s v="No"/>
    <n v="19"/>
    <x v="1"/>
    <n v="1"/>
    <s v="No"/>
    <m/>
    <x v="0"/>
    <x v="11"/>
  </r>
  <r>
    <x v="297"/>
    <s v="Lisa Brown"/>
    <x v="1"/>
    <n v="58"/>
    <x v="5"/>
    <x v="13"/>
    <x v="0"/>
    <x v="1"/>
    <x v="288"/>
    <x v="13"/>
    <x v="297"/>
    <n v="14641.99"/>
    <s v="No"/>
    <x v="2"/>
    <n v="5"/>
    <n v="1"/>
    <n v="66"/>
    <s v="No"/>
    <n v="3"/>
    <x v="2"/>
    <n v="15"/>
    <s v="No"/>
    <m/>
    <x v="0"/>
    <x v="14"/>
  </r>
  <r>
    <x v="298"/>
    <s v="Joshua Sanchez"/>
    <x v="0"/>
    <n v="58"/>
    <x v="6"/>
    <x v="17"/>
    <x v="4"/>
    <x v="1"/>
    <x v="289"/>
    <x v="7"/>
    <x v="298"/>
    <n v="4860.7700000000004"/>
    <s v="No"/>
    <x v="1"/>
    <n v="4"/>
    <n v="3"/>
    <n v="37"/>
    <s v="No"/>
    <n v="2"/>
    <x v="0"/>
    <n v="19"/>
    <s v="No"/>
    <m/>
    <x v="0"/>
    <x v="3"/>
  </r>
  <r>
    <x v="299"/>
    <s v="Patricia Lee"/>
    <x v="1"/>
    <n v="51"/>
    <x v="4"/>
    <x v="6"/>
    <x v="1"/>
    <x v="1"/>
    <x v="290"/>
    <x v="9"/>
    <x v="299"/>
    <n v="10689.42"/>
    <s v="Yes"/>
    <x v="3"/>
    <n v="2"/>
    <n v="5"/>
    <n v="9"/>
    <s v="No"/>
    <n v="9"/>
    <x v="1"/>
    <n v="4"/>
    <s v="No"/>
    <m/>
    <x v="0"/>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8EFDC6-97EF-4436-B990-F2AAAEA8049E}" name="PivotTable1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24:AP40" firstHeaderRow="1" firstDataRow="1" firstDataCol="1"/>
  <pivotFields count="28">
    <pivotField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axis="axisRow" showAll="0">
      <items count="16">
        <item x="3"/>
        <item x="14"/>
        <item x="0"/>
        <item x="13"/>
        <item x="8"/>
        <item x="1"/>
        <item x="2"/>
        <item x="12"/>
        <item x="9"/>
        <item x="10"/>
        <item x="4"/>
        <item x="11"/>
        <item x="6"/>
        <item x="5"/>
        <item x="7"/>
        <item t="default"/>
      </items>
    </pivotField>
    <pivotField dataField="1"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Sum of Salary" fld="1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22E21C-8EFC-48F0-A2BB-B6906F1424DD}"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H21:AI29" firstHeaderRow="1" firstDataRow="1" firstDataCol="1"/>
  <pivotFields count="28">
    <pivotField showAll="0"/>
    <pivotField showAll="0"/>
    <pivotField showAll="0">
      <items count="3">
        <item x="1"/>
        <item x="0"/>
        <item t="default"/>
      </items>
    </pivotField>
    <pivotField showAll="0"/>
    <pivotField axis="axisRow"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4"/>
  </rowFields>
  <rowItems count="8">
    <i>
      <x/>
    </i>
    <i>
      <x v="1"/>
    </i>
    <i>
      <x v="2"/>
    </i>
    <i>
      <x v="3"/>
    </i>
    <i>
      <x v="4"/>
    </i>
    <i>
      <x v="5"/>
    </i>
    <i>
      <x v="6"/>
    </i>
    <i t="grand">
      <x/>
    </i>
  </rowItems>
  <colItems count="1">
    <i/>
  </colItems>
  <dataFields count="1">
    <dataField name="Average of Performance_Rating" fld="13" subtotal="average" baseField="4" baseItem="0" numFmtId="173"/>
  </dataFields>
  <formats count="2">
    <format dxfId="1">
      <pivotArea collapsedLevelsAreSubtotals="1" fieldPosition="0">
        <references count="1">
          <reference field="4" count="1">
            <x v="0"/>
          </reference>
        </references>
      </pivotArea>
    </format>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B57DB-2E22-49F4-B5F6-D9079953CC59}"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W23:X31" firstHeaderRow="1" firstDataRow="1" firstDataCol="1"/>
  <pivotFields count="2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x="1"/>
        <item x="0"/>
        <item t="default"/>
      </items>
    </pivotField>
    <pivotField showAll="0"/>
    <pivotField axis="axisRow"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4"/>
  </rowFields>
  <rowItems count="8">
    <i>
      <x/>
    </i>
    <i>
      <x v="1"/>
    </i>
    <i>
      <x v="2"/>
    </i>
    <i>
      <x v="3"/>
    </i>
    <i>
      <x v="4"/>
    </i>
    <i>
      <x v="5"/>
    </i>
    <i>
      <x v="6"/>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E8945-F724-4141-81F7-3E8E9BFB3C22}"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2:X20" firstHeaderRow="1" firstDataRow="1" firstDataCol="1"/>
  <pivotFields count="2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items count="3">
        <item x="1"/>
        <item x="0"/>
        <item t="default"/>
      </items>
    </pivotField>
    <pivotField showAll="0"/>
    <pivotField axis="axisRow"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4"/>
  </rowFields>
  <rowItems count="8">
    <i>
      <x/>
    </i>
    <i>
      <x v="1"/>
    </i>
    <i>
      <x v="2"/>
    </i>
    <i>
      <x v="3"/>
    </i>
    <i>
      <x v="4"/>
    </i>
    <i>
      <x v="5"/>
    </i>
    <i>
      <x v="6"/>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F59F9A-746C-43F4-8A4C-F3E4CDA92157}"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8">
    <pivotField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dataField="1"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Items count="1">
    <i/>
  </rowItems>
  <colItems count="1">
    <i/>
  </colItems>
  <dataFields count="1">
    <dataField name="Average Performance Rating" fld="13" subtotal="average" baseField="0"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EA4BBF-19FB-4985-ADF9-D0CE8F2EE1AE}"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2:N18" firstHeaderRow="1" firstDataRow="1" firstDataCol="1"/>
  <pivotFields count="28">
    <pivotField dataField="1"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sd="0" x="15"/>
        <item sd="0" x="16"/>
        <item t="default"/>
      </items>
    </pivotField>
  </pivotFields>
  <rowFields count="2">
    <field x="27"/>
    <field x="25"/>
  </rowFields>
  <rowItems count="16">
    <i>
      <x v="1"/>
    </i>
    <i>
      <x v="2"/>
    </i>
    <i>
      <x v="3"/>
    </i>
    <i>
      <x v="4"/>
    </i>
    <i>
      <x v="5"/>
    </i>
    <i>
      <x v="6"/>
    </i>
    <i>
      <x v="7"/>
    </i>
    <i>
      <x v="8"/>
    </i>
    <i>
      <x v="9"/>
    </i>
    <i>
      <x v="10"/>
    </i>
    <i>
      <x v="11"/>
    </i>
    <i>
      <x v="12"/>
    </i>
    <i>
      <x v="13"/>
    </i>
    <i>
      <x v="14"/>
    </i>
    <i>
      <x v="15"/>
    </i>
    <i t="grand">
      <x/>
    </i>
  </rowItems>
  <colItems count="1">
    <i/>
  </colItems>
  <dataFields count="1">
    <dataField name="Count of Employee_ID" fld="0" subtotal="count" baseField="27" baseItem="1"/>
  </dataFields>
  <chartFormats count="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DE3AD2-4182-4E91-B51A-BB5E7DD40490}"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0:F13" firstHeaderRow="1" firstDataRow="1" firstDataCol="1"/>
  <pivotFields count="28">
    <pivotField dataField="1" showAll="0"/>
    <pivotField showAll="0"/>
    <pivotField axis="axisRow"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Fields count="1">
    <field x="2"/>
  </rowFields>
  <rowItems count="3">
    <i>
      <x/>
    </i>
    <i>
      <x v="1"/>
    </i>
    <i t="grand">
      <x/>
    </i>
  </rowItems>
  <colItems count="1">
    <i/>
  </colItems>
  <dataFields count="1">
    <dataField name="Count of Employee_ID" fld="0" subtotal="count" baseField="2"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824653-DA6D-49AA-9378-732EA5D54506}"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rowPageCount="1" colPageCount="1"/>
  <pivotFields count="28">
    <pivotField dataField="1"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Items count="1">
    <i/>
  </rowItems>
  <colItems count="1">
    <i/>
  </colItems>
  <pageFields count="1">
    <pageField fld="23" hier="-1"/>
  </pageFields>
  <dataFields count="1">
    <dataField name="Active Employe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7EB86F-9893-4717-9700-302D89CB9F4F}"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18" firstHeaderRow="1" firstDataRow="1" firstDataCol="1"/>
  <pivotFields count="28">
    <pivotField dataField="1" showAll="0"/>
    <pivotField showAll="0"/>
    <pivotField showAll="0">
      <items count="3">
        <item x="1"/>
        <item x="0"/>
        <item t="default"/>
      </items>
    </pivotField>
    <pivotField showAll="0"/>
    <pivotField axis="axisRow"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Fields count="1">
    <field x="4"/>
  </rowFields>
  <rowItems count="8">
    <i>
      <x/>
    </i>
    <i>
      <x v="1"/>
    </i>
    <i>
      <x v="2"/>
    </i>
    <i>
      <x v="3"/>
    </i>
    <i>
      <x v="4"/>
    </i>
    <i>
      <x v="5"/>
    </i>
    <i>
      <x v="6"/>
    </i>
    <i t="grand">
      <x/>
    </i>
  </rowItems>
  <colItems count="1">
    <i/>
  </colItems>
  <dataFields count="1">
    <dataField name="Count of Employee_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F954F0-BC84-416C-8603-C9CF0D403D0C}"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28">
    <pivotField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dataField="1"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Items count="1">
    <i/>
  </rowItems>
  <colItems count="1">
    <i/>
  </colItems>
  <dataFields count="1">
    <dataField name="Average Salary" fld="10"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3311E5-0878-4CB3-AF4E-1DE9CDA0BEF1}"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8">
    <pivotField dataField="1"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Items count="1">
    <i/>
  </rowItems>
  <colItems count="1">
    <i/>
  </colItems>
  <dataFields count="1">
    <dataField name="Total Employees 300"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1AB509-421B-40E6-AE7E-05E2315213E0}"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B3:AC11" firstHeaderRow="1" firstDataRow="1" firstDataCol="1" rowPageCount="1" colPageCount="1"/>
  <pivotFields count="28">
    <pivotField dataField="1" showAll="0"/>
    <pivotField showAll="0"/>
    <pivotField showAll="0">
      <items count="3">
        <item x="1"/>
        <item x="0"/>
        <item t="default"/>
      </items>
    </pivotField>
    <pivotField showAll="0"/>
    <pivotField axis="axisRow"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items count="6">
        <item x="0"/>
        <item x="4"/>
        <item x="3"/>
        <item x="1"/>
        <item x="2"/>
        <item t="default"/>
      </items>
    </pivotField>
    <pivotField showAll="0">
      <items count="4">
        <item x="1"/>
        <item x="2"/>
        <item x="0"/>
        <item t="default"/>
      </items>
    </pivotField>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axis="axisPage" showAll="0">
      <items count="3">
        <item x="0"/>
        <item x="1"/>
        <item t="default"/>
      </items>
    </pivotField>
    <pivotField showAll="0"/>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4"/>
  </rowFields>
  <rowItems count="8">
    <i>
      <x/>
    </i>
    <i>
      <x v="1"/>
    </i>
    <i>
      <x v="2"/>
    </i>
    <i>
      <x v="3"/>
    </i>
    <i>
      <x v="4"/>
    </i>
    <i>
      <x v="5"/>
    </i>
    <i>
      <x v="6"/>
    </i>
    <i t="grand">
      <x/>
    </i>
  </rowItems>
  <colItems count="1">
    <i/>
  </colItems>
  <pageFields count="1">
    <pageField fld="23" hier="-1"/>
  </pageFields>
  <dataFields count="1">
    <dataField name="Count of Employee_ID" fld="0" subtotal="count" baseField="4"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EB0B90-C20D-4900-BC6C-A4967E7F1826}"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1:I14" firstHeaderRow="1" firstDataRow="1" firstDataCol="1"/>
  <pivotFields count="28">
    <pivotField dataField="1"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8">
        <item x="0"/>
        <item x="1"/>
        <item x="2"/>
        <item x="3"/>
        <item x="4"/>
        <item x="5"/>
        <item x="6"/>
        <item x="7"/>
        <item x="8"/>
        <item x="9"/>
        <item x="10"/>
        <item x="11"/>
        <item x="12"/>
        <item x="13"/>
        <item x="14"/>
        <item x="15"/>
        <item x="16"/>
        <item t="default"/>
      </items>
    </pivotField>
  </pivotFields>
  <rowFields count="1">
    <field x="23"/>
  </rowFields>
  <rowItems count="3">
    <i>
      <x/>
    </i>
    <i>
      <x v="1"/>
    </i>
    <i t="grand">
      <x/>
    </i>
  </rowItems>
  <colItems count="1">
    <i/>
  </colItems>
  <dataFields count="1">
    <dataField name="Count of Employee_ID" fld="0" subtotal="count" baseField="23"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3" count="1" selected="0">
            <x v="0"/>
          </reference>
        </references>
      </pivotArea>
    </chartFormat>
    <chartFormat chart="0"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415B9B-152E-4051-93D2-36EF4CEAA090}"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W2:X8" firstHeaderRow="1" firstDataRow="1" firstDataCol="1"/>
  <pivotFields count="28">
    <pivotField dataField="1" showAll="0"/>
    <pivotField showAll="0"/>
    <pivotField showAll="0">
      <items count="3">
        <item x="1"/>
        <item x="0"/>
        <item t="default"/>
      </items>
    </pivotField>
    <pivotField showAll="0"/>
    <pivotField showAll="0">
      <items count="8">
        <item x="5"/>
        <item x="6"/>
        <item x="4"/>
        <item x="3"/>
        <item x="1"/>
        <item x="0"/>
        <item x="2"/>
        <item t="default"/>
      </items>
    </pivotField>
    <pivotField showAll="0">
      <items count="29">
        <item x="7"/>
        <item x="8"/>
        <item x="14"/>
        <item x="3"/>
        <item x="27"/>
        <item x="9"/>
        <item x="13"/>
        <item x="15"/>
        <item x="17"/>
        <item x="24"/>
        <item x="26"/>
        <item x="6"/>
        <item x="0"/>
        <item x="4"/>
        <item x="22"/>
        <item x="18"/>
        <item x="1"/>
        <item x="10"/>
        <item x="19"/>
        <item x="20"/>
        <item x="11"/>
        <item x="16"/>
        <item x="25"/>
        <item x="23"/>
        <item x="2"/>
        <item x="5"/>
        <item x="12"/>
        <item x="21"/>
        <item t="default"/>
      </items>
    </pivotField>
    <pivotField showAll="0"/>
    <pivotField showAll="0"/>
    <pivotField numFmtId="164" showAll="0">
      <items count="292">
        <item x="194"/>
        <item x="220"/>
        <item x="289"/>
        <item x="148"/>
        <item x="263"/>
        <item x="7"/>
        <item x="259"/>
        <item x="252"/>
        <item x="77"/>
        <item x="70"/>
        <item x="81"/>
        <item x="5"/>
        <item x="202"/>
        <item x="37"/>
        <item x="274"/>
        <item x="223"/>
        <item x="38"/>
        <item x="117"/>
        <item x="270"/>
        <item x="257"/>
        <item x="79"/>
        <item x="127"/>
        <item x="63"/>
        <item x="210"/>
        <item x="39"/>
        <item x="107"/>
        <item x="59"/>
        <item x="201"/>
        <item x="227"/>
        <item x="67"/>
        <item x="268"/>
        <item x="13"/>
        <item x="181"/>
        <item x="254"/>
        <item x="255"/>
        <item x="240"/>
        <item x="276"/>
        <item x="172"/>
        <item x="47"/>
        <item x="136"/>
        <item x="80"/>
        <item x="207"/>
        <item x="281"/>
        <item x="269"/>
        <item x="95"/>
        <item x="6"/>
        <item x="189"/>
        <item x="58"/>
        <item x="53"/>
        <item x="278"/>
        <item x="133"/>
        <item x="261"/>
        <item x="31"/>
        <item x="233"/>
        <item x="21"/>
        <item x="170"/>
        <item x="36"/>
        <item x="179"/>
        <item x="229"/>
        <item x="142"/>
        <item x="138"/>
        <item x="100"/>
        <item x="23"/>
        <item x="17"/>
        <item x="253"/>
        <item x="68"/>
        <item x="185"/>
        <item x="18"/>
        <item x="109"/>
        <item x="228"/>
        <item x="155"/>
        <item x="249"/>
        <item x="173"/>
        <item x="160"/>
        <item x="83"/>
        <item x="234"/>
        <item x="111"/>
        <item x="246"/>
        <item x="239"/>
        <item x="280"/>
        <item x="287"/>
        <item x="132"/>
        <item x="275"/>
        <item x="56"/>
        <item x="35"/>
        <item x="248"/>
        <item x="89"/>
        <item x="157"/>
        <item x="199"/>
        <item x="137"/>
        <item x="272"/>
        <item x="4"/>
        <item x="65"/>
        <item x="256"/>
        <item x="143"/>
        <item x="203"/>
        <item x="26"/>
        <item x="195"/>
        <item x="217"/>
        <item x="164"/>
        <item x="219"/>
        <item x="262"/>
        <item x="46"/>
        <item x="96"/>
        <item x="152"/>
        <item x="232"/>
        <item x="206"/>
        <item x="209"/>
        <item x="165"/>
        <item x="178"/>
        <item x="271"/>
        <item x="115"/>
        <item x="16"/>
        <item x="90"/>
        <item x="41"/>
        <item x="69"/>
        <item x="158"/>
        <item x="224"/>
        <item x="85"/>
        <item x="120"/>
        <item x="12"/>
        <item x="50"/>
        <item x="98"/>
        <item x="290"/>
        <item x="135"/>
        <item x="166"/>
        <item x="51"/>
        <item x="183"/>
        <item x="40"/>
        <item x="264"/>
        <item x="66"/>
        <item x="243"/>
        <item x="245"/>
        <item x="230"/>
        <item x="154"/>
        <item x="139"/>
        <item x="260"/>
        <item x="167"/>
        <item x="211"/>
        <item x="121"/>
        <item x="94"/>
        <item x="82"/>
        <item x="45"/>
        <item x="273"/>
        <item x="140"/>
        <item x="284"/>
        <item x="19"/>
        <item x="116"/>
        <item x="251"/>
        <item x="159"/>
        <item x="2"/>
        <item x="73"/>
        <item x="150"/>
        <item x="214"/>
        <item x="168"/>
        <item x="119"/>
        <item x="33"/>
        <item x="204"/>
        <item x="200"/>
        <item x="75"/>
        <item x="182"/>
        <item x="191"/>
        <item x="174"/>
        <item x="146"/>
        <item x="126"/>
        <item x="103"/>
        <item x="151"/>
        <item x="192"/>
        <item x="42"/>
        <item x="238"/>
        <item x="60"/>
        <item x="101"/>
        <item x="218"/>
        <item x="78"/>
        <item x="1"/>
        <item x="8"/>
        <item x="22"/>
        <item x="49"/>
        <item x="20"/>
        <item x="76"/>
        <item x="84"/>
        <item x="190"/>
        <item x="64"/>
        <item x="11"/>
        <item x="123"/>
        <item x="86"/>
        <item x="267"/>
        <item x="250"/>
        <item x="197"/>
        <item x="258"/>
        <item x="226"/>
        <item x="44"/>
        <item x="104"/>
        <item x="114"/>
        <item x="10"/>
        <item x="247"/>
        <item x="244"/>
        <item x="54"/>
        <item x="25"/>
        <item x="97"/>
        <item x="177"/>
        <item x="91"/>
        <item x="34"/>
        <item x="161"/>
        <item x="87"/>
        <item x="43"/>
        <item x="102"/>
        <item x="213"/>
        <item x="187"/>
        <item x="88"/>
        <item x="24"/>
        <item x="129"/>
        <item x="153"/>
        <item x="130"/>
        <item x="32"/>
        <item x="277"/>
        <item x="186"/>
        <item x="266"/>
        <item x="236"/>
        <item x="71"/>
        <item x="118"/>
        <item x="288"/>
        <item x="145"/>
        <item x="205"/>
        <item x="279"/>
        <item x="169"/>
        <item x="128"/>
        <item x="27"/>
        <item x="29"/>
        <item x="110"/>
        <item x="55"/>
        <item x="237"/>
        <item x="48"/>
        <item x="15"/>
        <item x="282"/>
        <item x="0"/>
        <item x="265"/>
        <item x="241"/>
        <item x="156"/>
        <item x="222"/>
        <item x="221"/>
        <item x="122"/>
        <item x="208"/>
        <item x="124"/>
        <item x="131"/>
        <item x="61"/>
        <item x="163"/>
        <item x="112"/>
        <item x="28"/>
        <item x="171"/>
        <item x="175"/>
        <item x="62"/>
        <item x="225"/>
        <item x="231"/>
        <item x="242"/>
        <item x="106"/>
        <item x="93"/>
        <item x="180"/>
        <item x="196"/>
        <item x="147"/>
        <item x="162"/>
        <item x="235"/>
        <item x="113"/>
        <item x="184"/>
        <item x="285"/>
        <item x="216"/>
        <item x="105"/>
        <item x="57"/>
        <item x="144"/>
        <item x="72"/>
        <item x="30"/>
        <item x="92"/>
        <item x="134"/>
        <item x="74"/>
        <item x="125"/>
        <item x="149"/>
        <item x="9"/>
        <item x="212"/>
        <item x="198"/>
        <item x="193"/>
        <item x="176"/>
        <item x="215"/>
        <item x="14"/>
        <item x="52"/>
        <item x="3"/>
        <item x="286"/>
        <item x="99"/>
        <item x="283"/>
        <item x="108"/>
        <item x="188"/>
        <item x="141"/>
        <item t="default"/>
      </items>
    </pivotField>
    <pivotField showAll="0"/>
    <pivotField numFmtId="4" showAll="0"/>
    <pivotField numFmtId="4" showAll="0"/>
    <pivotField showAll="0"/>
    <pivotField axis="axisRow" showAll="0">
      <items count="6">
        <item x="3"/>
        <item x="0"/>
        <item x="1"/>
        <item x="2"/>
        <item x="4"/>
        <item t="default"/>
      </items>
    </pivotField>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6">
        <item x="4"/>
        <item x="11"/>
        <item x="14"/>
        <item x="7"/>
        <item x="5"/>
        <item x="6"/>
        <item x="8"/>
        <item x="13"/>
        <item x="10"/>
        <item x="1"/>
        <item x="2"/>
        <item x="12"/>
        <item x="0"/>
        <item x="9"/>
        <item x="3"/>
        <item t="default"/>
      </items>
    </pivotField>
    <pivotField showAll="0" defaultSubtotal="0"/>
    <pivotField showAll="0" defaultSubtotal="0"/>
    <pivotField showAll="0" defaultSubtotal="0">
      <items count="17">
        <item x="0"/>
        <item x="1"/>
        <item x="2"/>
        <item x="3"/>
        <item x="4"/>
        <item x="5"/>
        <item x="6"/>
        <item x="7"/>
        <item x="8"/>
        <item x="9"/>
        <item x="10"/>
        <item x="11"/>
        <item x="12"/>
        <item x="13"/>
        <item x="14"/>
        <item x="15"/>
        <item x="16"/>
      </items>
    </pivotField>
  </pivotFields>
  <rowFields count="1">
    <field x="13"/>
  </rowFields>
  <rowItems count="6">
    <i>
      <x/>
    </i>
    <i>
      <x v="1"/>
    </i>
    <i>
      <x v="2"/>
    </i>
    <i>
      <x v="3"/>
    </i>
    <i>
      <x v="4"/>
    </i>
    <i t="grand">
      <x/>
    </i>
  </rowItems>
  <colItems count="1">
    <i/>
  </colItems>
  <dataFields count="1">
    <dataField name="Count of Employee_ID" fld="0" subtotal="count" baseField="13"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217278-FC19-40E2-A629-7E8114EF8BC8}" sourceName="Gender">
  <pivotTables>
    <pivotTable tabId="2" name="PivotTable11"/>
    <pivotTable tabId="2" name="PivotTable1"/>
    <pivotTable tabId="2" name="PivotTable10"/>
    <pivotTable tabId="2" name="PivotTable12"/>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857131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7C32A2B-149F-4443-AE7F-15AA8FB7465B}" sourceName="Department">
  <pivotTables>
    <pivotTable tabId="2" name="PivotTable11"/>
    <pivotTable tabId="2" name="PivotTable1"/>
    <pivotTable tabId="2" name="PivotTable10"/>
    <pivotTable tabId="2" name="PivotTable12"/>
    <pivotTable tabId="2" name="PivotTable15"/>
    <pivotTable tabId="2" name="PivotTable16"/>
    <pivotTable tabId="2" name="PivotTable2"/>
    <pivotTable tabId="2" name="PivotTable3"/>
    <pivotTable tabId="2" name="PivotTable4"/>
    <pivotTable tabId="2" name="PivotTable5"/>
    <pivotTable tabId="2" name="PivotTable7"/>
    <pivotTable tabId="2" name="PivotTable8"/>
    <pivotTable tabId="2" name="PivotTable9"/>
  </pivotTables>
  <data>
    <tabular pivotCacheId="2098571313">
      <items count="7">
        <i x="5" s="1"/>
        <i x="6" s="1"/>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4555BCC-DB3F-47A6-8E9E-BCA2C2263522}" sourceName="Job_Role">
  <pivotTables>
    <pivotTable tabId="2" name="PivotTable11"/>
    <pivotTable tabId="2" name="PivotTable1"/>
    <pivotTable tabId="2" name="PivotTable10"/>
    <pivotTable tabId="2" name="PivotTable12"/>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8571313">
      <items count="28">
        <i x="7" s="1"/>
        <i x="8" s="1"/>
        <i x="14" s="1"/>
        <i x="3" s="1"/>
        <i x="27" s="1"/>
        <i x="9" s="1"/>
        <i x="13" s="1"/>
        <i x="15" s="1"/>
        <i x="17" s="1"/>
        <i x="24" s="1"/>
        <i x="26" s="1"/>
        <i x="6" s="1"/>
        <i x="0" s="1"/>
        <i x="4" s="1"/>
        <i x="22" s="1"/>
        <i x="18" s="1"/>
        <i x="1" s="1"/>
        <i x="10" s="1"/>
        <i x="19" s="1"/>
        <i x="20" s="1"/>
        <i x="11" s="1"/>
        <i x="16" s="1"/>
        <i x="25" s="1"/>
        <i x="23" s="1"/>
        <i x="2" s="1"/>
        <i x="5" s="1"/>
        <i x="12" s="1"/>
        <i x="2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F0AC718-9401-483C-B12E-7D5113BA2984}" sourceName="Status">
  <pivotTables>
    <pivotTable tabId="2" name="PivotTable11"/>
    <pivotTable tabId="2" name="PivotTable1"/>
    <pivotTable tabId="2" name="PivotTable10"/>
    <pivotTable tabId="2" name="PivotTable12"/>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209857131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of_Joining" xr10:uid="{7AE278E1-B493-4A70-8CEB-A693516C5250}" sourceName="Years (Date_of_Joining)">
  <pivotTables>
    <pivotTable tabId="2" name="PivotTable11"/>
  </pivotTables>
  <data>
    <tabular pivotCacheId="2098571313">
      <items count="17">
        <i x="1" s="1"/>
        <i x="2" s="1"/>
        <i x="3" s="1"/>
        <i x="4" s="1"/>
        <i x="5" s="1"/>
        <i x="6" s="1"/>
        <i x="7" s="1"/>
        <i x="8" s="1"/>
        <i x="9" s="1"/>
        <i x="10" s="1"/>
        <i x="11" s="1"/>
        <i x="12" s="1"/>
        <i x="13" s="1"/>
        <i x="14" s="1"/>
        <i x="15" s="1"/>
        <i x="0" s="1" nd="1"/>
        <i x="1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A869C1B6-39E1-4D5C-AD75-194D041419DC}" sourceName="Business_Travel">
  <pivotTables>
    <pivotTable tabId="2" name="PivotTable11"/>
  </pivotTables>
  <data>
    <tabular pivotCacheId="2098571313">
      <items count="3">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9633B35-6E8E-43FC-88B2-0E414646ABD3}" sourceName="Education">
  <pivotTables>
    <pivotTable tabId="2" name="PivotTable11"/>
  </pivotTables>
  <data>
    <tabular pivotCacheId="2098571313">
      <items count="5">
        <i x="0" s="1"/>
        <i x="4" s="1"/>
        <i x="3"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CCC870-813B-4BB6-A9C9-1D4971CB4554}" sourceName="Marital_Status">
  <pivotTables>
    <pivotTable tabId="2" name="PivotTable11"/>
  </pivotTables>
  <data>
    <tabular pivotCacheId="209857131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909C898-A06C-4132-8951-F17D447384F8}" cache="Slicer_Gender" caption="Gender" rowHeight="241300"/>
  <slicer name="Status" xr10:uid="{9E0F27FE-F0E0-48FF-AA92-02AA8A88C8D6}" cache="Slicer_Status" caption="Status" rowHeight="241300"/>
  <slicer name="Years (Date_of_Joining)" xr10:uid="{486601A6-3BC5-4C87-AD6A-D400245186D5}" cache="Slicer_Years__Date_of_Joining" caption="Years (Date_of_Joining)" rowHeight="241300"/>
  <slicer name="Business_Travel" xr10:uid="{A7E51A51-D9ED-458C-8610-60EF25BF348A}" cache="Slicer_Business_Travel" caption="Business_Travel" rowHeight="241300"/>
  <slicer name="Education" xr10:uid="{F9B0BF8E-5C7F-43DE-82D3-F195BA96C423}" cache="Slicer_Education" caption="Education" rowHeight="241300"/>
  <slicer name="Marital_Status" xr10:uid="{54F96971-80EB-4DAB-A460-7D59C751927E}" cache="Slicer_Marital_Status" caption="Marital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D7BD08D-819F-4436-995B-46CB6A770667}" cache="Slicer_Gender" caption="Gender" rowHeight="241300"/>
  <slicer name="Department 2" xr10:uid="{DD565E05-9ECC-496B-B1F7-A071C2DFAE97}" cache="Slicer_Department" caption="Department" rowHeight="241300"/>
  <slicer name="Job_Role 2" xr10:uid="{9C8C5B39-8214-40EC-AA21-F848A6D8DC79}" cache="Slicer_Job_Role" caption="Job_Role" rowHeight="241300"/>
  <slicer name="Status 2" xr10:uid="{9AB50A64-33A4-4D3A-AAFB-E835ED2C9ECB}"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DE5F0A-489B-4ADB-8823-2A9D5E473D55}" name="HR_Data" displayName="HR_Data" ref="A1:Y301">
  <autoFilter ref="A1:Y301" xr:uid="{0ADE5F0A-489B-4ADB-8823-2A9D5E473D55}"/>
  <tableColumns count="25">
    <tableColumn id="1" xr3:uid="{66F67818-2AFD-42E4-A198-EB32BED3FD4C}" name="Employee_ID"/>
    <tableColumn id="2" xr3:uid="{4614DA42-CAFB-4307-AB2C-1819AB99ADA8}" name="Employee_Name"/>
    <tableColumn id="3" xr3:uid="{9F2C5FD2-0625-4300-9332-925191803B63}" name="Gender"/>
    <tableColumn id="4" xr3:uid="{C244AE60-A01D-414A-B462-DF581F42E8C6}" name="Age"/>
    <tableColumn id="5" xr3:uid="{572E67AE-DFCD-4591-9194-3539D417FA6B}" name="Department"/>
    <tableColumn id="6" xr3:uid="{C04E5B08-B593-4A12-9BC0-BF54A46A297E}" name="Job_Role"/>
    <tableColumn id="7" xr3:uid="{32F4FD2A-852F-4B47-B7C3-D13098E9BB66}" name="Education"/>
    <tableColumn id="8" xr3:uid="{1C42EAD5-D7AE-4A18-A13C-B3E668828B02}" name="Marital_Status"/>
    <tableColumn id="9" xr3:uid="{468F0565-4B62-49DB-9890-4ED402ED8130}" name="Date_of_Joining"/>
    <tableColumn id="10" xr3:uid="{E6F98E40-D291-4F85-8157-8B0549111C01}" name="Years_at_Company"/>
    <tableColumn id="11" xr3:uid="{8D02AEF4-56AB-4EB9-8FC1-8CDAD44CC07E}" name="Salary"/>
    <tableColumn id="12" xr3:uid="{57F2584A-BF09-43E1-93EF-4EA66090FDCB}" name="Bonus"/>
    <tableColumn id="13" xr3:uid="{5096289C-0B14-4681-9564-CD5B3C7A859F}" name="Overtime"/>
    <tableColumn id="14" xr3:uid="{BDC45DA6-37D8-4CC8-9CD5-1368F7704AB1}" name="Performance_Rating"/>
    <tableColumn id="15" xr3:uid="{AF14DC5A-3F0D-4E6D-A272-1C05A486B66B}" name="Job_Satisfaction"/>
    <tableColumn id="16" xr3:uid="{94426E01-BBDB-4D0E-A06A-F16AC6BE36CA}" name="Work_Life_Balance"/>
    <tableColumn id="17" xr3:uid="{069C075E-4B00-4900-A232-28F6EE896D53}" name="Training_Hours"/>
    <tableColumn id="18" xr3:uid="{686F029C-64A3-49FD-BA91-2434641F5F9C}" name="Promotion_Last_5_Years"/>
    <tableColumn id="19" xr3:uid="{9B792F9E-FDD5-4EC6-A4D1-6FE1D54F99A9}" name="Distance_From_Home"/>
    <tableColumn id="20" xr3:uid="{32085D5A-1B75-409D-8920-FD12DC671A04}" name="Business_Travel"/>
    <tableColumn id="21" xr3:uid="{CE527222-35D5-43CF-8C95-DB9CDB530E16}" name="Absent_Days"/>
    <tableColumn id="22" xr3:uid="{FBF8F7AD-E982-4223-A362-FB74B1865A72}" name="Attrition"/>
    <tableColumn id="23" xr3:uid="{0B6CEB21-87FB-4BAF-A644-3887A9DAADDE}" name="Exit_Date"/>
    <tableColumn id="26" xr3:uid="{ECF990AE-A24C-4E17-8B5A-201A15C0D233}" name="Status" dataDxfId="3">
      <calculatedColumnFormula>IF(W2="","Active","Exited")</calculatedColumnFormula>
    </tableColumn>
    <tableColumn id="24" xr3:uid="{0223F25C-39FB-4879-9C8F-1AE691E40C5E}"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HR Analytic Dashboard">
      <a:dk1>
        <a:srgbClr val="1D2A35"/>
      </a:dk1>
      <a:lt1>
        <a:sysClr val="window" lastClr="FFFFFF"/>
      </a:lt1>
      <a:dk2>
        <a:srgbClr val="0A66C2"/>
      </a:dk2>
      <a:lt2>
        <a:srgbClr val="F3F2EF"/>
      </a:lt2>
      <a:accent1>
        <a:srgbClr val="0A66C2"/>
      </a:accent1>
      <a:accent2>
        <a:srgbClr val="2E7D9A"/>
      </a:accent2>
      <a:accent3>
        <a:srgbClr val="5FA8D3"/>
      </a:accent3>
      <a:accent4>
        <a:srgbClr val="17A2B8"/>
      </a:accent4>
      <a:accent5>
        <a:srgbClr val="134F72"/>
      </a:accent5>
      <a:accent6>
        <a:srgbClr val="8BB8D8"/>
      </a:accent6>
      <a:hlink>
        <a:srgbClr val="0A66C2"/>
      </a:hlink>
      <a:folHlink>
        <a:srgbClr val="4C7EA8"/>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CA46-037B-41B4-9C8A-11B6B70A4AB7}">
  <sheetPr codeName="Sheet1"/>
  <dimension ref="A1:Y301"/>
  <sheetViews>
    <sheetView tabSelected="1" workbookViewId="0">
      <selection activeCell="C21" sqref="C21"/>
    </sheetView>
  </sheetViews>
  <sheetFormatPr defaultRowHeight="15"/>
  <cols>
    <col min="1" max="1" width="18.85546875" customWidth="1"/>
    <col min="2" max="2" width="22.5703125" customWidth="1"/>
    <col min="9" max="9" width="22.28515625" customWidth="1"/>
    <col min="11" max="11" width="11.7109375" customWidth="1"/>
    <col min="23" max="23" width="15.2851562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357</v>
      </c>
      <c r="Y1" s="1" t="s">
        <v>23</v>
      </c>
    </row>
    <row r="2" spans="1:25">
      <c r="A2" s="2">
        <v>10001</v>
      </c>
      <c r="B2" s="3" t="s">
        <v>24</v>
      </c>
      <c r="C2" s="3" t="s">
        <v>25</v>
      </c>
      <c r="D2" s="3">
        <v>38</v>
      </c>
      <c r="E2" s="3" t="s">
        <v>26</v>
      </c>
      <c r="F2" s="3" t="s">
        <v>27</v>
      </c>
      <c r="G2" s="3" t="s">
        <v>28</v>
      </c>
      <c r="H2" s="3" t="s">
        <v>29</v>
      </c>
      <c r="I2" s="4">
        <v>44646</v>
      </c>
      <c r="J2" s="3">
        <v>4</v>
      </c>
      <c r="K2" s="5">
        <v>50651.02</v>
      </c>
      <c r="L2" s="5">
        <v>3791.22</v>
      </c>
      <c r="M2" s="3" t="s">
        <v>30</v>
      </c>
      <c r="N2" s="3">
        <v>2</v>
      </c>
      <c r="O2" s="3">
        <v>2</v>
      </c>
      <c r="P2" s="3">
        <v>5</v>
      </c>
      <c r="Q2" s="3">
        <v>77</v>
      </c>
      <c r="R2" s="3" t="s">
        <v>30</v>
      </c>
      <c r="S2" s="3">
        <v>7</v>
      </c>
      <c r="T2" s="3" t="s">
        <v>31</v>
      </c>
      <c r="U2" s="3">
        <v>20</v>
      </c>
      <c r="V2" s="3" t="s">
        <v>32</v>
      </c>
      <c r="W2" s="4"/>
      <c r="X2" s="4" t="str">
        <f t="shared" ref="X2:X65" si="0">IF(W2="","Active","Exited")</f>
        <v>Active</v>
      </c>
      <c r="Y2" s="3" t="s">
        <v>33</v>
      </c>
    </row>
    <row r="3" spans="1:25">
      <c r="A3" s="2">
        <v>10002</v>
      </c>
      <c r="B3" s="3" t="s">
        <v>34</v>
      </c>
      <c r="C3" s="3" t="s">
        <v>25</v>
      </c>
      <c r="D3" s="3">
        <v>38</v>
      </c>
      <c r="E3" s="3" t="s">
        <v>35</v>
      </c>
      <c r="F3" s="3" t="s">
        <v>36</v>
      </c>
      <c r="G3" s="3" t="s">
        <v>37</v>
      </c>
      <c r="H3" s="3" t="s">
        <v>29</v>
      </c>
      <c r="I3" s="4">
        <v>43641</v>
      </c>
      <c r="J3" s="3">
        <v>7</v>
      </c>
      <c r="K3" s="5">
        <v>52012.53</v>
      </c>
      <c r="L3" s="5">
        <v>2091.5500000000002</v>
      </c>
      <c r="M3" s="3" t="s">
        <v>32</v>
      </c>
      <c r="N3" s="3">
        <v>3</v>
      </c>
      <c r="O3" s="3">
        <v>1</v>
      </c>
      <c r="P3" s="3">
        <v>1</v>
      </c>
      <c r="Q3" s="3">
        <v>48</v>
      </c>
      <c r="R3" s="3" t="s">
        <v>30</v>
      </c>
      <c r="S3" s="3">
        <v>28</v>
      </c>
      <c r="T3" s="3" t="s">
        <v>38</v>
      </c>
      <c r="U3" s="3">
        <v>19</v>
      </c>
      <c r="V3" s="3" t="s">
        <v>32</v>
      </c>
      <c r="W3" s="4"/>
      <c r="X3" s="4" t="str">
        <f t="shared" si="0"/>
        <v>Active</v>
      </c>
      <c r="Y3" s="3" t="s">
        <v>39</v>
      </c>
    </row>
    <row r="4" spans="1:25">
      <c r="A4" s="2">
        <v>10003</v>
      </c>
      <c r="B4" s="3" t="s">
        <v>40</v>
      </c>
      <c r="C4" s="3" t="s">
        <v>41</v>
      </c>
      <c r="D4" s="3">
        <v>45</v>
      </c>
      <c r="E4" s="3" t="s">
        <v>42</v>
      </c>
      <c r="F4" s="3" t="s">
        <v>43</v>
      </c>
      <c r="G4" s="3" t="s">
        <v>44</v>
      </c>
      <c r="H4" s="3" t="s">
        <v>45</v>
      </c>
      <c r="I4" s="4">
        <v>43141</v>
      </c>
      <c r="J4" s="3">
        <v>8</v>
      </c>
      <c r="K4" s="5">
        <v>66754.37</v>
      </c>
      <c r="L4" s="5">
        <v>7449.41</v>
      </c>
      <c r="M4" s="3" t="s">
        <v>30</v>
      </c>
      <c r="N4" s="3">
        <v>2</v>
      </c>
      <c r="O4" s="3">
        <v>3</v>
      </c>
      <c r="P4" s="3">
        <v>1</v>
      </c>
      <c r="Q4" s="3">
        <v>29</v>
      </c>
      <c r="R4" s="3" t="s">
        <v>32</v>
      </c>
      <c r="S4" s="3">
        <v>13</v>
      </c>
      <c r="T4" s="3" t="s">
        <v>38</v>
      </c>
      <c r="U4" s="3">
        <v>14</v>
      </c>
      <c r="V4" s="3" t="s">
        <v>32</v>
      </c>
      <c r="W4" s="4"/>
      <c r="X4" s="4" t="str">
        <f t="shared" si="0"/>
        <v>Active</v>
      </c>
      <c r="Y4" s="3" t="s">
        <v>46</v>
      </c>
    </row>
    <row r="5" spans="1:25">
      <c r="A5" s="2">
        <v>10004</v>
      </c>
      <c r="B5" s="3" t="s">
        <v>47</v>
      </c>
      <c r="C5" s="3" t="s">
        <v>25</v>
      </c>
      <c r="D5" s="3">
        <v>34</v>
      </c>
      <c r="E5" s="3" t="s">
        <v>48</v>
      </c>
      <c r="F5" s="3" t="s">
        <v>49</v>
      </c>
      <c r="G5" s="3" t="s">
        <v>37</v>
      </c>
      <c r="H5" s="3" t="s">
        <v>45</v>
      </c>
      <c r="I5" s="4">
        <v>45487</v>
      </c>
      <c r="J5" s="3">
        <v>2</v>
      </c>
      <c r="K5" s="5">
        <v>38927.14</v>
      </c>
      <c r="L5" s="5">
        <v>3991.87</v>
      </c>
      <c r="M5" s="3" t="s">
        <v>32</v>
      </c>
      <c r="N5" s="3">
        <v>2</v>
      </c>
      <c r="O5" s="3">
        <v>2</v>
      </c>
      <c r="P5" s="3">
        <v>4</v>
      </c>
      <c r="Q5" s="3">
        <v>48</v>
      </c>
      <c r="R5" s="3" t="s">
        <v>32</v>
      </c>
      <c r="S5" s="3">
        <v>30</v>
      </c>
      <c r="T5" s="3" t="s">
        <v>31</v>
      </c>
      <c r="U5" s="3">
        <v>17</v>
      </c>
      <c r="V5" s="3" t="s">
        <v>32</v>
      </c>
      <c r="W5" s="4"/>
      <c r="X5" s="4" t="str">
        <f t="shared" si="0"/>
        <v>Active</v>
      </c>
      <c r="Y5" s="3" t="s">
        <v>46</v>
      </c>
    </row>
    <row r="6" spans="1:25">
      <c r="A6" s="2">
        <v>10005</v>
      </c>
      <c r="B6" s="3" t="s">
        <v>50</v>
      </c>
      <c r="C6" s="3" t="s">
        <v>25</v>
      </c>
      <c r="D6" s="3">
        <v>23</v>
      </c>
      <c r="E6" s="3" t="s">
        <v>35</v>
      </c>
      <c r="F6" s="3" t="s">
        <v>51</v>
      </c>
      <c r="G6" s="3" t="s">
        <v>28</v>
      </c>
      <c r="H6" s="3" t="s">
        <v>29</v>
      </c>
      <c r="I6" s="4">
        <v>41907</v>
      </c>
      <c r="J6" s="3">
        <v>12</v>
      </c>
      <c r="K6" s="5">
        <v>80656.81</v>
      </c>
      <c r="L6" s="5">
        <v>7560.24</v>
      </c>
      <c r="M6" s="3" t="s">
        <v>32</v>
      </c>
      <c r="N6" s="3">
        <v>2</v>
      </c>
      <c r="O6" s="3">
        <v>4</v>
      </c>
      <c r="P6" s="3">
        <v>4</v>
      </c>
      <c r="Q6" s="3">
        <v>58</v>
      </c>
      <c r="R6" s="3" t="s">
        <v>30</v>
      </c>
      <c r="S6" s="3">
        <v>5</v>
      </c>
      <c r="T6" s="3" t="s">
        <v>52</v>
      </c>
      <c r="U6" s="3">
        <v>17</v>
      </c>
      <c r="V6" s="3" t="s">
        <v>32</v>
      </c>
      <c r="W6" s="4"/>
      <c r="X6" s="4" t="str">
        <f t="shared" si="0"/>
        <v>Active</v>
      </c>
      <c r="Y6" s="3" t="s">
        <v>53</v>
      </c>
    </row>
    <row r="7" spans="1:25">
      <c r="A7" s="2">
        <v>10006</v>
      </c>
      <c r="B7" s="3" t="s">
        <v>54</v>
      </c>
      <c r="C7" s="3" t="s">
        <v>41</v>
      </c>
      <c r="D7" s="3">
        <v>44</v>
      </c>
      <c r="E7" s="3" t="s">
        <v>26</v>
      </c>
      <c r="F7" s="3" t="s">
        <v>27</v>
      </c>
      <c r="G7" s="3" t="s">
        <v>37</v>
      </c>
      <c r="H7" s="3" t="s">
        <v>29</v>
      </c>
      <c r="I7" s="4">
        <v>40564</v>
      </c>
      <c r="J7" s="3">
        <v>15</v>
      </c>
      <c r="K7" s="5">
        <v>100971.69</v>
      </c>
      <c r="L7" s="5">
        <v>4025.68</v>
      </c>
      <c r="M7" s="3" t="s">
        <v>30</v>
      </c>
      <c r="N7" s="3">
        <v>4</v>
      </c>
      <c r="O7" s="3">
        <v>5</v>
      </c>
      <c r="P7" s="3">
        <v>1</v>
      </c>
      <c r="Q7" s="3">
        <v>49</v>
      </c>
      <c r="R7" s="3" t="s">
        <v>32</v>
      </c>
      <c r="S7" s="3">
        <v>15</v>
      </c>
      <c r="T7" s="3" t="s">
        <v>31</v>
      </c>
      <c r="U7" s="3">
        <v>8</v>
      </c>
      <c r="V7" s="3" t="s">
        <v>32</v>
      </c>
      <c r="W7" s="4"/>
      <c r="X7" s="4" t="str">
        <f t="shared" si="0"/>
        <v>Active</v>
      </c>
      <c r="Y7" s="3" t="s">
        <v>55</v>
      </c>
    </row>
    <row r="8" spans="1:25">
      <c r="A8" s="2">
        <v>10007</v>
      </c>
      <c r="B8" s="3" t="s">
        <v>56</v>
      </c>
      <c r="C8" s="3" t="s">
        <v>25</v>
      </c>
      <c r="D8" s="3">
        <v>55</v>
      </c>
      <c r="E8" s="3" t="s">
        <v>35</v>
      </c>
      <c r="F8" s="3" t="s">
        <v>51</v>
      </c>
      <c r="G8" s="3" t="s">
        <v>37</v>
      </c>
      <c r="H8" s="3" t="s">
        <v>57</v>
      </c>
      <c r="I8" s="4">
        <v>41092</v>
      </c>
      <c r="J8" s="3">
        <v>14</v>
      </c>
      <c r="K8" s="5">
        <v>49675.01</v>
      </c>
      <c r="L8" s="5">
        <v>2014.84</v>
      </c>
      <c r="M8" s="3" t="s">
        <v>30</v>
      </c>
      <c r="N8" s="3">
        <v>3</v>
      </c>
      <c r="O8" s="3">
        <v>5</v>
      </c>
      <c r="P8" s="3">
        <v>2</v>
      </c>
      <c r="Q8" s="3">
        <v>64</v>
      </c>
      <c r="R8" s="3" t="s">
        <v>32</v>
      </c>
      <c r="S8" s="3">
        <v>28</v>
      </c>
      <c r="T8" s="3" t="s">
        <v>31</v>
      </c>
      <c r="U8" s="3">
        <v>9</v>
      </c>
      <c r="V8" s="3" t="s">
        <v>32</v>
      </c>
      <c r="W8" s="4"/>
      <c r="X8" s="4" t="str">
        <f t="shared" si="0"/>
        <v>Active</v>
      </c>
      <c r="Y8" s="3" t="s">
        <v>58</v>
      </c>
    </row>
    <row r="9" spans="1:25">
      <c r="A9" s="2">
        <v>10008</v>
      </c>
      <c r="B9" s="3" t="s">
        <v>59</v>
      </c>
      <c r="C9" s="3" t="s">
        <v>25</v>
      </c>
      <c r="D9" s="3">
        <v>31</v>
      </c>
      <c r="E9" s="3" t="s">
        <v>60</v>
      </c>
      <c r="F9" s="3" t="s">
        <v>61</v>
      </c>
      <c r="G9" s="3" t="s">
        <v>37</v>
      </c>
      <c r="H9" s="3" t="s">
        <v>57</v>
      </c>
      <c r="I9" s="4">
        <v>40338</v>
      </c>
      <c r="J9" s="3">
        <v>16</v>
      </c>
      <c r="K9" s="5">
        <v>53390.080000000002</v>
      </c>
      <c r="L9" s="5">
        <v>3587.15</v>
      </c>
      <c r="M9" s="3" t="s">
        <v>32</v>
      </c>
      <c r="N9" s="3">
        <v>3</v>
      </c>
      <c r="O9" s="3">
        <v>2</v>
      </c>
      <c r="P9" s="3">
        <v>1</v>
      </c>
      <c r="Q9" s="3">
        <v>30</v>
      </c>
      <c r="R9" s="3" t="s">
        <v>32</v>
      </c>
      <c r="S9" s="3">
        <v>3</v>
      </c>
      <c r="T9" s="3" t="s">
        <v>52</v>
      </c>
      <c r="U9" s="3">
        <v>15</v>
      </c>
      <c r="V9" s="3" t="s">
        <v>32</v>
      </c>
      <c r="W9" s="4"/>
      <c r="X9" s="4" t="str">
        <f t="shared" si="0"/>
        <v>Active</v>
      </c>
      <c r="Y9" s="3" t="s">
        <v>62</v>
      </c>
    </row>
    <row r="10" spans="1:25">
      <c r="A10" s="2">
        <v>10009</v>
      </c>
      <c r="B10" s="3" t="s">
        <v>63</v>
      </c>
      <c r="C10" s="3" t="s">
        <v>25</v>
      </c>
      <c r="D10" s="3">
        <v>51</v>
      </c>
      <c r="E10" s="3" t="s">
        <v>60</v>
      </c>
      <c r="F10" s="3" t="s">
        <v>64</v>
      </c>
      <c r="G10" s="3" t="s">
        <v>28</v>
      </c>
      <c r="H10" s="3" t="s">
        <v>45</v>
      </c>
      <c r="I10" s="4">
        <v>43645</v>
      </c>
      <c r="J10" s="3">
        <v>7</v>
      </c>
      <c r="K10" s="5">
        <v>117327.22</v>
      </c>
      <c r="L10" s="5">
        <v>16514.830000000002</v>
      </c>
      <c r="M10" s="3" t="s">
        <v>32</v>
      </c>
      <c r="N10" s="3">
        <v>2</v>
      </c>
      <c r="O10" s="3">
        <v>3</v>
      </c>
      <c r="P10" s="3">
        <v>4</v>
      </c>
      <c r="Q10" s="3">
        <v>47</v>
      </c>
      <c r="R10" s="3" t="s">
        <v>32</v>
      </c>
      <c r="S10" s="3">
        <v>17</v>
      </c>
      <c r="T10" s="3" t="s">
        <v>38</v>
      </c>
      <c r="U10" s="3">
        <v>3</v>
      </c>
      <c r="V10" s="3" t="s">
        <v>32</v>
      </c>
      <c r="W10" s="4"/>
      <c r="X10" s="4" t="str">
        <f t="shared" si="0"/>
        <v>Active</v>
      </c>
      <c r="Y10" s="3" t="s">
        <v>65</v>
      </c>
    </row>
    <row r="11" spans="1:25">
      <c r="A11" s="2">
        <v>10010</v>
      </c>
      <c r="B11" s="3" t="s">
        <v>66</v>
      </c>
      <c r="C11" s="3" t="s">
        <v>41</v>
      </c>
      <c r="D11" s="3">
        <v>56</v>
      </c>
      <c r="E11" s="3" t="s">
        <v>26</v>
      </c>
      <c r="F11" s="3" t="s">
        <v>27</v>
      </c>
      <c r="G11" s="3" t="s">
        <v>67</v>
      </c>
      <c r="H11" s="3" t="s">
        <v>45</v>
      </c>
      <c r="I11" s="4">
        <v>45348</v>
      </c>
      <c r="J11" s="3">
        <v>2</v>
      </c>
      <c r="K11" s="5">
        <v>48826.79</v>
      </c>
      <c r="L11" s="5">
        <v>1404.36</v>
      </c>
      <c r="M11" s="3" t="s">
        <v>30</v>
      </c>
      <c r="N11" s="3">
        <v>3</v>
      </c>
      <c r="O11" s="3">
        <v>1</v>
      </c>
      <c r="P11" s="3">
        <v>5</v>
      </c>
      <c r="Q11" s="3">
        <v>30</v>
      </c>
      <c r="R11" s="3" t="s">
        <v>32</v>
      </c>
      <c r="S11" s="3">
        <v>16</v>
      </c>
      <c r="T11" s="3" t="s">
        <v>52</v>
      </c>
      <c r="U11" s="3">
        <v>17</v>
      </c>
      <c r="V11" s="3" t="s">
        <v>30</v>
      </c>
      <c r="W11" s="4">
        <v>46260</v>
      </c>
      <c r="X11" s="4" t="str">
        <f t="shared" si="0"/>
        <v>Exited</v>
      </c>
      <c r="Y11" s="3" t="s">
        <v>68</v>
      </c>
    </row>
    <row r="12" spans="1:25">
      <c r="A12" s="2">
        <v>10011</v>
      </c>
      <c r="B12" s="3" t="s">
        <v>69</v>
      </c>
      <c r="C12" s="3" t="s">
        <v>41</v>
      </c>
      <c r="D12" s="3">
        <v>27</v>
      </c>
      <c r="E12" s="3" t="s">
        <v>42</v>
      </c>
      <c r="F12" s="3" t="s">
        <v>70</v>
      </c>
      <c r="G12" s="3" t="s">
        <v>28</v>
      </c>
      <c r="H12" s="3" t="s">
        <v>57</v>
      </c>
      <c r="I12" s="4">
        <v>44004</v>
      </c>
      <c r="J12" s="3">
        <v>6</v>
      </c>
      <c r="K12" s="5">
        <v>82511.02</v>
      </c>
      <c r="L12" s="5">
        <v>2231.2800000000002</v>
      </c>
      <c r="M12" s="3" t="s">
        <v>32</v>
      </c>
      <c r="N12" s="3">
        <v>1</v>
      </c>
      <c r="O12" s="3">
        <v>1</v>
      </c>
      <c r="P12" s="3">
        <v>4</v>
      </c>
      <c r="Q12" s="3">
        <v>43</v>
      </c>
      <c r="R12" s="3" t="s">
        <v>32</v>
      </c>
      <c r="S12" s="3">
        <v>4</v>
      </c>
      <c r="T12" s="3" t="s">
        <v>52</v>
      </c>
      <c r="U12" s="3">
        <v>6</v>
      </c>
      <c r="V12" s="3" t="s">
        <v>32</v>
      </c>
      <c r="W12" s="4"/>
      <c r="X12" s="4" t="str">
        <f t="shared" si="0"/>
        <v>Active</v>
      </c>
      <c r="Y12" s="3" t="s">
        <v>71</v>
      </c>
    </row>
    <row r="13" spans="1:25">
      <c r="A13" s="2">
        <v>10012</v>
      </c>
      <c r="B13" s="3" t="s">
        <v>72</v>
      </c>
      <c r="C13" s="3" t="s">
        <v>25</v>
      </c>
      <c r="D13" s="3">
        <v>38</v>
      </c>
      <c r="E13" s="3" t="s">
        <v>73</v>
      </c>
      <c r="F13" s="3" t="s">
        <v>74</v>
      </c>
      <c r="G13" s="3" t="s">
        <v>44</v>
      </c>
      <c r="H13" s="3" t="s">
        <v>29</v>
      </c>
      <c r="I13" s="4">
        <v>43809</v>
      </c>
      <c r="J13" s="3">
        <v>7</v>
      </c>
      <c r="K13" s="5">
        <v>88481.33</v>
      </c>
      <c r="L13" s="5">
        <v>11615.45</v>
      </c>
      <c r="M13" s="3" t="s">
        <v>30</v>
      </c>
      <c r="N13" s="3">
        <v>5</v>
      </c>
      <c r="O13" s="3">
        <v>1</v>
      </c>
      <c r="P13" s="3">
        <v>1</v>
      </c>
      <c r="Q13" s="3">
        <v>30</v>
      </c>
      <c r="R13" s="3" t="s">
        <v>30</v>
      </c>
      <c r="S13" s="3">
        <v>16</v>
      </c>
      <c r="T13" s="3" t="s">
        <v>38</v>
      </c>
      <c r="U13" s="3">
        <v>6</v>
      </c>
      <c r="V13" s="3" t="s">
        <v>32</v>
      </c>
      <c r="W13" s="4"/>
      <c r="X13" s="4" t="str">
        <f t="shared" si="0"/>
        <v>Active</v>
      </c>
      <c r="Y13" s="3" t="s">
        <v>75</v>
      </c>
    </row>
    <row r="14" spans="1:25">
      <c r="A14" s="2">
        <v>10013</v>
      </c>
      <c r="B14" s="3" t="s">
        <v>76</v>
      </c>
      <c r="C14" s="3" t="s">
        <v>25</v>
      </c>
      <c r="D14" s="3">
        <v>21</v>
      </c>
      <c r="E14" s="3" t="s">
        <v>73</v>
      </c>
      <c r="F14" s="3" t="s">
        <v>77</v>
      </c>
      <c r="G14" s="3" t="s">
        <v>78</v>
      </c>
      <c r="H14" s="3" t="s">
        <v>57</v>
      </c>
      <c r="I14" s="4">
        <v>42515</v>
      </c>
      <c r="J14" s="3">
        <v>10</v>
      </c>
      <c r="K14" s="5">
        <v>65380.45</v>
      </c>
      <c r="L14" s="5">
        <v>9444.2900000000009</v>
      </c>
      <c r="M14" s="3" t="s">
        <v>32</v>
      </c>
      <c r="N14" s="3">
        <v>5</v>
      </c>
      <c r="O14" s="3">
        <v>4</v>
      </c>
      <c r="P14" s="3">
        <v>2</v>
      </c>
      <c r="Q14" s="3">
        <v>24</v>
      </c>
      <c r="R14" s="3" t="s">
        <v>32</v>
      </c>
      <c r="S14" s="3">
        <v>2</v>
      </c>
      <c r="T14" s="3" t="s">
        <v>31</v>
      </c>
      <c r="U14" s="3">
        <v>17</v>
      </c>
      <c r="V14" s="3" t="s">
        <v>30</v>
      </c>
      <c r="W14" s="4">
        <v>45204</v>
      </c>
      <c r="X14" s="4" t="str">
        <f t="shared" si="0"/>
        <v>Exited</v>
      </c>
      <c r="Y14" s="3" t="s">
        <v>39</v>
      </c>
    </row>
    <row r="15" spans="1:25">
      <c r="A15" s="2">
        <v>10014</v>
      </c>
      <c r="B15" s="3" t="s">
        <v>79</v>
      </c>
      <c r="C15" s="3" t="s">
        <v>25</v>
      </c>
      <c r="D15" s="3">
        <v>53</v>
      </c>
      <c r="E15" s="3" t="s">
        <v>35</v>
      </c>
      <c r="F15" s="3" t="s">
        <v>80</v>
      </c>
      <c r="G15" s="3" t="s">
        <v>67</v>
      </c>
      <c r="H15" s="3" t="s">
        <v>45</v>
      </c>
      <c r="I15" s="4">
        <v>40835</v>
      </c>
      <c r="J15" s="3">
        <v>15</v>
      </c>
      <c r="K15" s="5">
        <v>77567.13</v>
      </c>
      <c r="L15" s="5">
        <v>2242.29</v>
      </c>
      <c r="M15" s="3" t="s">
        <v>30</v>
      </c>
      <c r="N15" s="3">
        <v>2</v>
      </c>
      <c r="O15" s="3">
        <v>4</v>
      </c>
      <c r="P15" s="3">
        <v>1</v>
      </c>
      <c r="Q15" s="3">
        <v>72</v>
      </c>
      <c r="R15" s="3" t="s">
        <v>30</v>
      </c>
      <c r="S15" s="3">
        <v>20</v>
      </c>
      <c r="T15" s="3" t="s">
        <v>52</v>
      </c>
      <c r="U15" s="3">
        <v>19</v>
      </c>
      <c r="V15" s="3" t="s">
        <v>30</v>
      </c>
      <c r="W15" s="4">
        <v>45908</v>
      </c>
      <c r="X15" s="4" t="str">
        <f t="shared" si="0"/>
        <v>Exited</v>
      </c>
      <c r="Y15" s="3" t="s">
        <v>81</v>
      </c>
    </row>
    <row r="16" spans="1:25">
      <c r="A16" s="2">
        <v>10015</v>
      </c>
      <c r="B16" s="3" t="s">
        <v>82</v>
      </c>
      <c r="C16" s="3" t="s">
        <v>41</v>
      </c>
      <c r="D16" s="3">
        <v>41</v>
      </c>
      <c r="E16" s="3" t="s">
        <v>26</v>
      </c>
      <c r="F16" s="3" t="s">
        <v>83</v>
      </c>
      <c r="G16" s="3" t="s">
        <v>28</v>
      </c>
      <c r="H16" s="3" t="s">
        <v>45</v>
      </c>
      <c r="I16" s="4">
        <v>45466</v>
      </c>
      <c r="J16" s="3">
        <v>2</v>
      </c>
      <c r="K16" s="5">
        <v>64499.81</v>
      </c>
      <c r="L16" s="5">
        <v>3941.13</v>
      </c>
      <c r="M16" s="3" t="s">
        <v>32</v>
      </c>
      <c r="N16" s="3">
        <v>1</v>
      </c>
      <c r="O16" s="3">
        <v>1</v>
      </c>
      <c r="P16" s="3">
        <v>4</v>
      </c>
      <c r="Q16" s="3">
        <v>79</v>
      </c>
      <c r="R16" s="3" t="s">
        <v>32</v>
      </c>
      <c r="S16" s="3">
        <v>4</v>
      </c>
      <c r="T16" s="3" t="s">
        <v>52</v>
      </c>
      <c r="U16" s="3">
        <v>17</v>
      </c>
      <c r="V16" s="3" t="s">
        <v>32</v>
      </c>
      <c r="W16" s="4"/>
      <c r="X16" s="4" t="str">
        <f t="shared" si="0"/>
        <v>Active</v>
      </c>
      <c r="Y16" s="3" t="s">
        <v>84</v>
      </c>
    </row>
    <row r="17" spans="1:25">
      <c r="A17" s="2">
        <v>10016</v>
      </c>
      <c r="B17" s="3" t="s">
        <v>85</v>
      </c>
      <c r="C17" s="3" t="s">
        <v>25</v>
      </c>
      <c r="D17" s="3">
        <v>25</v>
      </c>
      <c r="E17" s="3" t="s">
        <v>26</v>
      </c>
      <c r="F17" s="3" t="s">
        <v>83</v>
      </c>
      <c r="G17" s="3" t="s">
        <v>28</v>
      </c>
      <c r="H17" s="3" t="s">
        <v>57</v>
      </c>
      <c r="I17" s="4">
        <v>44629</v>
      </c>
      <c r="J17" s="3">
        <v>4</v>
      </c>
      <c r="K17" s="5">
        <v>90730.1</v>
      </c>
      <c r="L17" s="5">
        <v>9029.2900000000009</v>
      </c>
      <c r="M17" s="3" t="s">
        <v>32</v>
      </c>
      <c r="N17" s="3">
        <v>5</v>
      </c>
      <c r="O17" s="3">
        <v>1</v>
      </c>
      <c r="P17" s="3">
        <v>5</v>
      </c>
      <c r="Q17" s="3">
        <v>38</v>
      </c>
      <c r="R17" s="3" t="s">
        <v>32</v>
      </c>
      <c r="S17" s="3">
        <v>4</v>
      </c>
      <c r="T17" s="3" t="s">
        <v>52</v>
      </c>
      <c r="U17" s="3">
        <v>8</v>
      </c>
      <c r="V17" s="3" t="s">
        <v>30</v>
      </c>
      <c r="W17" s="4">
        <v>44781</v>
      </c>
      <c r="X17" s="4" t="str">
        <f t="shared" si="0"/>
        <v>Exited</v>
      </c>
      <c r="Y17" s="3" t="s">
        <v>53</v>
      </c>
    </row>
    <row r="18" spans="1:25">
      <c r="A18" s="2">
        <v>10017</v>
      </c>
      <c r="B18" s="3" t="s">
        <v>86</v>
      </c>
      <c r="C18" s="3" t="s">
        <v>25</v>
      </c>
      <c r="D18" s="3">
        <v>59</v>
      </c>
      <c r="E18" s="3" t="s">
        <v>26</v>
      </c>
      <c r="F18" s="3" t="s">
        <v>83</v>
      </c>
      <c r="G18" s="3" t="s">
        <v>28</v>
      </c>
      <c r="H18" s="3" t="s">
        <v>45</v>
      </c>
      <c r="I18" s="4">
        <v>42341</v>
      </c>
      <c r="J18" s="3">
        <v>11</v>
      </c>
      <c r="K18" s="5">
        <v>77851.59</v>
      </c>
      <c r="L18" s="5">
        <v>4098.5600000000004</v>
      </c>
      <c r="M18" s="3" t="s">
        <v>32</v>
      </c>
      <c r="N18" s="3">
        <v>1</v>
      </c>
      <c r="O18" s="3">
        <v>1</v>
      </c>
      <c r="P18" s="3">
        <v>4</v>
      </c>
      <c r="Q18" s="3">
        <v>35</v>
      </c>
      <c r="R18" s="3" t="s">
        <v>30</v>
      </c>
      <c r="S18" s="3">
        <v>11</v>
      </c>
      <c r="T18" s="3" t="s">
        <v>52</v>
      </c>
      <c r="U18" s="3">
        <v>20</v>
      </c>
      <c r="V18" s="3" t="s">
        <v>32</v>
      </c>
      <c r="W18" s="4"/>
      <c r="X18" s="4" t="str">
        <f t="shared" si="0"/>
        <v>Active</v>
      </c>
      <c r="Y18" s="3" t="s">
        <v>87</v>
      </c>
    </row>
    <row r="19" spans="1:25">
      <c r="A19" s="2">
        <v>10018</v>
      </c>
      <c r="B19" s="3" t="s">
        <v>88</v>
      </c>
      <c r="C19" s="3" t="s">
        <v>41</v>
      </c>
      <c r="D19" s="3">
        <v>48</v>
      </c>
      <c r="E19" s="3" t="s">
        <v>60</v>
      </c>
      <c r="F19" s="3" t="s">
        <v>61</v>
      </c>
      <c r="G19" s="3" t="s">
        <v>28</v>
      </c>
      <c r="H19" s="3" t="s">
        <v>45</v>
      </c>
      <c r="I19" s="4">
        <v>41400</v>
      </c>
      <c r="J19" s="3">
        <v>13</v>
      </c>
      <c r="K19" s="5">
        <v>85919.27</v>
      </c>
      <c r="L19" s="5">
        <v>11040.4</v>
      </c>
      <c r="M19" s="3" t="s">
        <v>32</v>
      </c>
      <c r="N19" s="3">
        <v>2</v>
      </c>
      <c r="O19" s="3">
        <v>4</v>
      </c>
      <c r="P19" s="3">
        <v>2</v>
      </c>
      <c r="Q19" s="3">
        <v>5</v>
      </c>
      <c r="R19" s="3" t="s">
        <v>32</v>
      </c>
      <c r="S19" s="3">
        <v>29</v>
      </c>
      <c r="T19" s="3" t="s">
        <v>52</v>
      </c>
      <c r="U19" s="3">
        <v>11</v>
      </c>
      <c r="V19" s="3" t="s">
        <v>32</v>
      </c>
      <c r="W19" s="4"/>
      <c r="X19" s="4" t="str">
        <f t="shared" si="0"/>
        <v>Active</v>
      </c>
      <c r="Y19" s="3" t="s">
        <v>68</v>
      </c>
    </row>
    <row r="20" spans="1:25">
      <c r="A20" s="2">
        <v>10019</v>
      </c>
      <c r="B20" s="3" t="s">
        <v>89</v>
      </c>
      <c r="C20" s="3" t="s">
        <v>25</v>
      </c>
      <c r="D20" s="3">
        <v>56</v>
      </c>
      <c r="E20" s="3" t="s">
        <v>35</v>
      </c>
      <c r="F20" s="3" t="s">
        <v>90</v>
      </c>
      <c r="G20" s="3" t="s">
        <v>78</v>
      </c>
      <c r="H20" s="3" t="s">
        <v>45</v>
      </c>
      <c r="I20" s="4">
        <v>41445</v>
      </c>
      <c r="J20" s="3">
        <v>13</v>
      </c>
      <c r="K20" s="5">
        <v>81288.19</v>
      </c>
      <c r="L20" s="5">
        <v>4127.4799999999996</v>
      </c>
      <c r="M20" s="3" t="s">
        <v>30</v>
      </c>
      <c r="N20" s="3">
        <v>2</v>
      </c>
      <c r="O20" s="3">
        <v>4</v>
      </c>
      <c r="P20" s="3">
        <v>1</v>
      </c>
      <c r="Q20" s="3">
        <v>22</v>
      </c>
      <c r="R20" s="3" t="s">
        <v>32</v>
      </c>
      <c r="S20" s="3">
        <v>11</v>
      </c>
      <c r="T20" s="3" t="s">
        <v>38</v>
      </c>
      <c r="U20" s="3">
        <v>7</v>
      </c>
      <c r="V20" s="3" t="s">
        <v>32</v>
      </c>
      <c r="W20" s="4"/>
      <c r="X20" s="4" t="str">
        <f t="shared" si="0"/>
        <v>Active</v>
      </c>
      <c r="Y20" s="3" t="s">
        <v>62</v>
      </c>
    </row>
    <row r="21" spans="1:25">
      <c r="A21" s="2">
        <v>10020</v>
      </c>
      <c r="B21" s="3" t="s">
        <v>91</v>
      </c>
      <c r="C21" s="3" t="s">
        <v>25</v>
      </c>
      <c r="D21" s="3">
        <v>23</v>
      </c>
      <c r="E21" s="3" t="s">
        <v>35</v>
      </c>
      <c r="F21" s="3" t="s">
        <v>90</v>
      </c>
      <c r="G21" s="3" t="s">
        <v>28</v>
      </c>
      <c r="H21" s="3" t="s">
        <v>57</v>
      </c>
      <c r="I21" s="4">
        <v>43043</v>
      </c>
      <c r="J21" s="3">
        <v>9</v>
      </c>
      <c r="K21" s="5">
        <v>50259.54</v>
      </c>
      <c r="L21" s="5">
        <v>6201.77</v>
      </c>
      <c r="M21" s="3" t="s">
        <v>30</v>
      </c>
      <c r="N21" s="3">
        <v>1</v>
      </c>
      <c r="O21" s="3">
        <v>2</v>
      </c>
      <c r="P21" s="3">
        <v>4</v>
      </c>
      <c r="Q21" s="3">
        <v>42</v>
      </c>
      <c r="R21" s="3" t="s">
        <v>32</v>
      </c>
      <c r="S21" s="3">
        <v>3</v>
      </c>
      <c r="T21" s="3" t="s">
        <v>38</v>
      </c>
      <c r="U21" s="3">
        <v>11</v>
      </c>
      <c r="V21" s="3" t="s">
        <v>32</v>
      </c>
      <c r="W21" s="4"/>
      <c r="X21" s="4" t="str">
        <f t="shared" si="0"/>
        <v>Active</v>
      </c>
      <c r="Y21" s="3" t="s">
        <v>33</v>
      </c>
    </row>
    <row r="22" spans="1:25">
      <c r="A22" s="2">
        <v>10021</v>
      </c>
      <c r="B22" s="3" t="s">
        <v>92</v>
      </c>
      <c r="C22" s="3" t="s">
        <v>41</v>
      </c>
      <c r="D22" s="3">
        <v>37</v>
      </c>
      <c r="E22" s="3" t="s">
        <v>26</v>
      </c>
      <c r="F22" s="3" t="s">
        <v>83</v>
      </c>
      <c r="G22" s="3" t="s">
        <v>67</v>
      </c>
      <c r="H22" s="3" t="s">
        <v>45</v>
      </c>
      <c r="I22" s="4">
        <v>43738</v>
      </c>
      <c r="J22" s="3">
        <v>7</v>
      </c>
      <c r="K22" s="5">
        <v>67469.66</v>
      </c>
      <c r="L22" s="5">
        <v>8247.2000000000007</v>
      </c>
      <c r="M22" s="3" t="s">
        <v>32</v>
      </c>
      <c r="N22" s="3">
        <v>5</v>
      </c>
      <c r="O22" s="3">
        <v>1</v>
      </c>
      <c r="P22" s="3">
        <v>4</v>
      </c>
      <c r="Q22" s="3">
        <v>73</v>
      </c>
      <c r="R22" s="3" t="s">
        <v>30</v>
      </c>
      <c r="S22" s="3">
        <v>2</v>
      </c>
      <c r="T22" s="3" t="s">
        <v>31</v>
      </c>
      <c r="U22" s="3">
        <v>13</v>
      </c>
      <c r="V22" s="3" t="s">
        <v>30</v>
      </c>
      <c r="W22" s="4">
        <v>46213</v>
      </c>
      <c r="X22" s="4" t="str">
        <f t="shared" si="0"/>
        <v>Exited</v>
      </c>
      <c r="Y22" s="3" t="s">
        <v>58</v>
      </c>
    </row>
    <row r="23" spans="1:25">
      <c r="A23" s="2">
        <v>10022</v>
      </c>
      <c r="B23" s="3" t="s">
        <v>93</v>
      </c>
      <c r="C23" s="3" t="s">
        <v>25</v>
      </c>
      <c r="D23" s="3">
        <v>25</v>
      </c>
      <c r="E23" s="3" t="s">
        <v>48</v>
      </c>
      <c r="F23" s="3" t="s">
        <v>49</v>
      </c>
      <c r="G23" s="3" t="s">
        <v>37</v>
      </c>
      <c r="H23" s="3" t="s">
        <v>45</v>
      </c>
      <c r="I23" s="4">
        <v>41199</v>
      </c>
      <c r="J23" s="3">
        <v>14</v>
      </c>
      <c r="K23" s="5">
        <v>74586.48</v>
      </c>
      <c r="L23" s="5">
        <v>4403.7299999999996</v>
      </c>
      <c r="M23" s="3" t="s">
        <v>32</v>
      </c>
      <c r="N23" s="3">
        <v>4</v>
      </c>
      <c r="O23" s="3">
        <v>3</v>
      </c>
      <c r="P23" s="3">
        <v>4</v>
      </c>
      <c r="Q23" s="3">
        <v>37</v>
      </c>
      <c r="R23" s="3" t="s">
        <v>32</v>
      </c>
      <c r="S23" s="3">
        <v>7</v>
      </c>
      <c r="T23" s="3" t="s">
        <v>38</v>
      </c>
      <c r="U23" s="3">
        <v>12</v>
      </c>
      <c r="V23" s="3" t="s">
        <v>32</v>
      </c>
      <c r="W23" s="4"/>
      <c r="X23" s="4" t="str">
        <f t="shared" si="0"/>
        <v>Active</v>
      </c>
      <c r="Y23" s="3" t="s">
        <v>75</v>
      </c>
    </row>
    <row r="24" spans="1:25">
      <c r="A24" s="2">
        <v>10023</v>
      </c>
      <c r="B24" s="3" t="s">
        <v>94</v>
      </c>
      <c r="C24" s="3" t="s">
        <v>25</v>
      </c>
      <c r="D24" s="3">
        <v>40</v>
      </c>
      <c r="E24" s="3" t="s">
        <v>73</v>
      </c>
      <c r="F24" s="3" t="s">
        <v>95</v>
      </c>
      <c r="G24" s="3" t="s">
        <v>28</v>
      </c>
      <c r="H24" s="3" t="s">
        <v>29</v>
      </c>
      <c r="I24" s="4">
        <v>43700</v>
      </c>
      <c r="J24" s="3">
        <v>7</v>
      </c>
      <c r="K24" s="5">
        <v>87145.53</v>
      </c>
      <c r="L24" s="5">
        <v>8615.73</v>
      </c>
      <c r="M24" s="3" t="s">
        <v>32</v>
      </c>
      <c r="N24" s="3">
        <v>4</v>
      </c>
      <c r="O24" s="3">
        <v>4</v>
      </c>
      <c r="P24" s="3">
        <v>2</v>
      </c>
      <c r="Q24" s="3">
        <v>65</v>
      </c>
      <c r="R24" s="3" t="s">
        <v>32</v>
      </c>
      <c r="S24" s="3">
        <v>29</v>
      </c>
      <c r="T24" s="3" t="s">
        <v>31</v>
      </c>
      <c r="U24" s="3">
        <v>5</v>
      </c>
      <c r="V24" s="3" t="s">
        <v>32</v>
      </c>
      <c r="W24" s="4"/>
      <c r="X24" s="4" t="str">
        <f t="shared" si="0"/>
        <v>Active</v>
      </c>
      <c r="Y24" s="3" t="s">
        <v>84</v>
      </c>
    </row>
    <row r="25" spans="1:25">
      <c r="A25" s="2">
        <v>10024</v>
      </c>
      <c r="B25" s="3" t="s">
        <v>96</v>
      </c>
      <c r="C25" s="3" t="s">
        <v>41</v>
      </c>
      <c r="D25" s="3">
        <v>36</v>
      </c>
      <c r="E25" s="3" t="s">
        <v>48</v>
      </c>
      <c r="F25" s="3" t="s">
        <v>49</v>
      </c>
      <c r="G25" s="3" t="s">
        <v>28</v>
      </c>
      <c r="H25" s="3" t="s">
        <v>29</v>
      </c>
      <c r="I25" s="4">
        <v>41386</v>
      </c>
      <c r="J25" s="3">
        <v>13</v>
      </c>
      <c r="K25" s="5">
        <v>36343.4</v>
      </c>
      <c r="L25" s="5">
        <v>1883.66</v>
      </c>
      <c r="M25" s="3" t="s">
        <v>32</v>
      </c>
      <c r="N25" s="3">
        <v>1</v>
      </c>
      <c r="O25" s="3">
        <v>4</v>
      </c>
      <c r="P25" s="3">
        <v>4</v>
      </c>
      <c r="Q25" s="3">
        <v>80</v>
      </c>
      <c r="R25" s="3" t="s">
        <v>32</v>
      </c>
      <c r="S25" s="3">
        <v>23</v>
      </c>
      <c r="T25" s="3" t="s">
        <v>31</v>
      </c>
      <c r="U25" s="3">
        <v>12</v>
      </c>
      <c r="V25" s="3" t="s">
        <v>32</v>
      </c>
      <c r="W25" s="4"/>
      <c r="X25" s="4" t="str">
        <f t="shared" si="0"/>
        <v>Active</v>
      </c>
      <c r="Y25" s="3" t="s">
        <v>68</v>
      </c>
    </row>
    <row r="26" spans="1:25">
      <c r="A26" s="2">
        <v>10025</v>
      </c>
      <c r="B26" s="3" t="s">
        <v>97</v>
      </c>
      <c r="C26" s="3" t="s">
        <v>25</v>
      </c>
      <c r="D26" s="3">
        <v>27</v>
      </c>
      <c r="E26" s="3" t="s">
        <v>35</v>
      </c>
      <c r="F26" s="3" t="s">
        <v>90</v>
      </c>
      <c r="G26" s="3" t="s">
        <v>28</v>
      </c>
      <c r="H26" s="3" t="s">
        <v>45</v>
      </c>
      <c r="I26" s="4">
        <v>44422</v>
      </c>
      <c r="J26" s="3">
        <v>5</v>
      </c>
      <c r="K26" s="5">
        <v>58227.49</v>
      </c>
      <c r="L26" s="5">
        <v>5383.87</v>
      </c>
      <c r="M26" s="3" t="s">
        <v>32</v>
      </c>
      <c r="N26" s="3">
        <v>1</v>
      </c>
      <c r="O26" s="3">
        <v>4</v>
      </c>
      <c r="P26" s="3">
        <v>2</v>
      </c>
      <c r="Q26" s="3">
        <v>59</v>
      </c>
      <c r="R26" s="3" t="s">
        <v>32</v>
      </c>
      <c r="S26" s="3">
        <v>18</v>
      </c>
      <c r="T26" s="3" t="s">
        <v>31</v>
      </c>
      <c r="U26" s="3">
        <v>10</v>
      </c>
      <c r="V26" s="3" t="s">
        <v>32</v>
      </c>
      <c r="W26" s="4"/>
      <c r="X26" s="4" t="str">
        <f t="shared" si="0"/>
        <v>Active</v>
      </c>
      <c r="Y26" s="3" t="s">
        <v>75</v>
      </c>
    </row>
    <row r="27" spans="1:25">
      <c r="A27" s="2">
        <v>10026</v>
      </c>
      <c r="B27" s="3" t="s">
        <v>98</v>
      </c>
      <c r="C27" s="3" t="s">
        <v>41</v>
      </c>
      <c r="D27" s="3">
        <v>53</v>
      </c>
      <c r="E27" s="3" t="s">
        <v>73</v>
      </c>
      <c r="F27" s="3" t="s">
        <v>99</v>
      </c>
      <c r="G27" s="3" t="s">
        <v>44</v>
      </c>
      <c r="H27" s="3" t="s">
        <v>45</v>
      </c>
      <c r="I27" s="4">
        <v>44067</v>
      </c>
      <c r="J27" s="3">
        <v>6</v>
      </c>
      <c r="K27" s="5">
        <v>67004.19</v>
      </c>
      <c r="L27" s="5">
        <v>7888.47</v>
      </c>
      <c r="M27" s="3" t="s">
        <v>32</v>
      </c>
      <c r="N27" s="3">
        <v>3</v>
      </c>
      <c r="O27" s="3">
        <v>5</v>
      </c>
      <c r="P27" s="3">
        <v>4</v>
      </c>
      <c r="Q27" s="3">
        <v>80</v>
      </c>
      <c r="R27" s="3" t="s">
        <v>30</v>
      </c>
      <c r="S27" s="3">
        <v>15</v>
      </c>
      <c r="T27" s="3" t="s">
        <v>52</v>
      </c>
      <c r="U27" s="3">
        <v>9</v>
      </c>
      <c r="V27" s="3" t="s">
        <v>32</v>
      </c>
      <c r="W27" s="4"/>
      <c r="X27" s="4" t="str">
        <f t="shared" si="0"/>
        <v>Active</v>
      </c>
      <c r="Y27" s="3" t="s">
        <v>46</v>
      </c>
    </row>
    <row r="28" spans="1:25">
      <c r="A28" s="2">
        <v>10027</v>
      </c>
      <c r="B28" s="3" t="s">
        <v>100</v>
      </c>
      <c r="C28" s="3" t="s">
        <v>41</v>
      </c>
      <c r="D28" s="3">
        <v>29</v>
      </c>
      <c r="E28" s="3" t="s">
        <v>26</v>
      </c>
      <c r="F28" s="3" t="s">
        <v>27</v>
      </c>
      <c r="G28" s="3" t="s">
        <v>28</v>
      </c>
      <c r="H28" s="3" t="s">
        <v>29</v>
      </c>
      <c r="I28" s="4">
        <v>41931</v>
      </c>
      <c r="J28" s="3">
        <v>12</v>
      </c>
      <c r="K28" s="5">
        <v>49174.879999999997</v>
      </c>
      <c r="L28" s="5">
        <v>3589.17</v>
      </c>
      <c r="M28" s="3" t="s">
        <v>32</v>
      </c>
      <c r="N28" s="3">
        <v>4</v>
      </c>
      <c r="O28" s="3">
        <v>1</v>
      </c>
      <c r="P28" s="3">
        <v>2</v>
      </c>
      <c r="Q28" s="3">
        <v>53</v>
      </c>
      <c r="R28" s="3" t="s">
        <v>32</v>
      </c>
      <c r="S28" s="3">
        <v>25</v>
      </c>
      <c r="T28" s="3" t="s">
        <v>31</v>
      </c>
      <c r="U28" s="3">
        <v>0</v>
      </c>
      <c r="V28" s="3" t="s">
        <v>32</v>
      </c>
      <c r="W28" s="4"/>
      <c r="X28" s="4" t="str">
        <f t="shared" si="0"/>
        <v>Active</v>
      </c>
      <c r="Y28" s="3" t="s">
        <v>62</v>
      </c>
    </row>
    <row r="29" spans="1:25">
      <c r="A29" s="2">
        <v>10028</v>
      </c>
      <c r="B29" s="3" t="s">
        <v>101</v>
      </c>
      <c r="C29" s="3" t="s">
        <v>41</v>
      </c>
      <c r="D29" s="3">
        <v>43</v>
      </c>
      <c r="E29" s="3" t="s">
        <v>102</v>
      </c>
      <c r="F29" s="3" t="s">
        <v>103</v>
      </c>
      <c r="G29" s="3" t="s">
        <v>44</v>
      </c>
      <c r="H29" s="3" t="s">
        <v>57</v>
      </c>
      <c r="I29" s="4">
        <v>44588</v>
      </c>
      <c r="J29" s="3">
        <v>4</v>
      </c>
      <c r="K29" s="5">
        <v>68638.210000000006</v>
      </c>
      <c r="L29" s="5">
        <v>6245.88</v>
      </c>
      <c r="M29" s="3" t="s">
        <v>32</v>
      </c>
      <c r="N29" s="3">
        <v>2</v>
      </c>
      <c r="O29" s="3">
        <v>4</v>
      </c>
      <c r="P29" s="3">
        <v>2</v>
      </c>
      <c r="Q29" s="3">
        <v>34</v>
      </c>
      <c r="R29" s="3" t="s">
        <v>32</v>
      </c>
      <c r="S29" s="3">
        <v>1</v>
      </c>
      <c r="T29" s="3" t="s">
        <v>38</v>
      </c>
      <c r="U29" s="3">
        <v>10</v>
      </c>
      <c r="V29" s="3" t="s">
        <v>32</v>
      </c>
      <c r="W29" s="4"/>
      <c r="X29" s="4" t="str">
        <f t="shared" si="0"/>
        <v>Active</v>
      </c>
      <c r="Y29" s="3" t="s">
        <v>62</v>
      </c>
    </row>
    <row r="30" spans="1:25">
      <c r="A30" s="2">
        <v>10029</v>
      </c>
      <c r="B30" s="3" t="s">
        <v>104</v>
      </c>
      <c r="C30" s="3" t="s">
        <v>41</v>
      </c>
      <c r="D30" s="3">
        <v>50</v>
      </c>
      <c r="E30" s="3" t="s">
        <v>26</v>
      </c>
      <c r="F30" s="3" t="s">
        <v>105</v>
      </c>
      <c r="G30" s="3" t="s">
        <v>78</v>
      </c>
      <c r="H30" s="3" t="s">
        <v>45</v>
      </c>
      <c r="I30" s="4">
        <v>44802</v>
      </c>
      <c r="J30" s="3">
        <v>4</v>
      </c>
      <c r="K30" s="5">
        <v>88094.98</v>
      </c>
      <c r="L30" s="5">
        <v>2723.3</v>
      </c>
      <c r="M30" s="3" t="s">
        <v>32</v>
      </c>
      <c r="N30" s="3">
        <v>4</v>
      </c>
      <c r="O30" s="3">
        <v>2</v>
      </c>
      <c r="P30" s="3">
        <v>1</v>
      </c>
      <c r="Q30" s="3">
        <v>33</v>
      </c>
      <c r="R30" s="3" t="s">
        <v>32</v>
      </c>
      <c r="S30" s="3">
        <v>7</v>
      </c>
      <c r="T30" s="3" t="s">
        <v>38</v>
      </c>
      <c r="U30" s="3">
        <v>10</v>
      </c>
      <c r="V30" s="3" t="s">
        <v>32</v>
      </c>
      <c r="W30" s="4"/>
      <c r="X30" s="4" t="str">
        <f t="shared" si="0"/>
        <v>Active</v>
      </c>
      <c r="Y30" s="3" t="s">
        <v>75</v>
      </c>
    </row>
    <row r="31" spans="1:25">
      <c r="A31" s="2">
        <v>10030</v>
      </c>
      <c r="B31" s="3" t="s">
        <v>106</v>
      </c>
      <c r="C31" s="3" t="s">
        <v>41</v>
      </c>
      <c r="D31" s="3">
        <v>47</v>
      </c>
      <c r="E31" s="3" t="s">
        <v>102</v>
      </c>
      <c r="F31" s="3" t="s">
        <v>107</v>
      </c>
      <c r="G31" s="3" t="s">
        <v>28</v>
      </c>
      <c r="H31" s="3" t="s">
        <v>45</v>
      </c>
      <c r="I31" s="4">
        <v>44597</v>
      </c>
      <c r="J31" s="3">
        <v>4</v>
      </c>
      <c r="K31" s="5">
        <v>37343.85</v>
      </c>
      <c r="L31" s="5">
        <v>5368.16</v>
      </c>
      <c r="M31" s="3" t="s">
        <v>30</v>
      </c>
      <c r="N31" s="3">
        <v>1</v>
      </c>
      <c r="O31" s="3">
        <v>1</v>
      </c>
      <c r="P31" s="3">
        <v>1</v>
      </c>
      <c r="Q31" s="3">
        <v>31</v>
      </c>
      <c r="R31" s="3" t="s">
        <v>30</v>
      </c>
      <c r="S31" s="3">
        <v>1</v>
      </c>
      <c r="T31" s="3" t="s">
        <v>31</v>
      </c>
      <c r="U31" s="3">
        <v>4</v>
      </c>
      <c r="V31" s="3" t="s">
        <v>32</v>
      </c>
      <c r="W31" s="4"/>
      <c r="X31" s="4" t="str">
        <f t="shared" si="0"/>
        <v>Active</v>
      </c>
      <c r="Y31" s="3" t="s">
        <v>71</v>
      </c>
    </row>
    <row r="32" spans="1:25">
      <c r="A32" s="2">
        <v>10031</v>
      </c>
      <c r="B32" s="3" t="s">
        <v>108</v>
      </c>
      <c r="C32" s="3" t="s">
        <v>25</v>
      </c>
      <c r="D32" s="3">
        <v>50</v>
      </c>
      <c r="E32" s="3" t="s">
        <v>48</v>
      </c>
      <c r="F32" s="3" t="s">
        <v>49</v>
      </c>
      <c r="G32" s="3" t="s">
        <v>37</v>
      </c>
      <c r="H32" s="3" t="s">
        <v>29</v>
      </c>
      <c r="I32" s="4">
        <v>45142</v>
      </c>
      <c r="J32" s="3">
        <v>3</v>
      </c>
      <c r="K32" s="5">
        <v>68398.61</v>
      </c>
      <c r="L32" s="5">
        <v>8018.39</v>
      </c>
      <c r="M32" s="3" t="s">
        <v>30</v>
      </c>
      <c r="N32" s="3">
        <v>2</v>
      </c>
      <c r="O32" s="3">
        <v>3</v>
      </c>
      <c r="P32" s="3">
        <v>1</v>
      </c>
      <c r="Q32" s="3">
        <v>74</v>
      </c>
      <c r="R32" s="3" t="s">
        <v>30</v>
      </c>
      <c r="S32" s="3">
        <v>10</v>
      </c>
      <c r="T32" s="3" t="s">
        <v>31</v>
      </c>
      <c r="U32" s="3">
        <v>12</v>
      </c>
      <c r="V32" s="3" t="s">
        <v>32</v>
      </c>
      <c r="W32" s="4"/>
      <c r="X32" s="4" t="str">
        <f t="shared" si="0"/>
        <v>Active</v>
      </c>
      <c r="Y32" s="3" t="s">
        <v>53</v>
      </c>
    </row>
    <row r="33" spans="1:25">
      <c r="A33" s="2">
        <v>10032</v>
      </c>
      <c r="B33" s="3" t="s">
        <v>109</v>
      </c>
      <c r="C33" s="3" t="s">
        <v>25</v>
      </c>
      <c r="D33" s="3">
        <v>36</v>
      </c>
      <c r="E33" s="3" t="s">
        <v>42</v>
      </c>
      <c r="F33" s="3" t="s">
        <v>43</v>
      </c>
      <c r="G33" s="3" t="s">
        <v>44</v>
      </c>
      <c r="H33" s="3" t="s">
        <v>45</v>
      </c>
      <c r="I33" s="4">
        <v>41170</v>
      </c>
      <c r="J33" s="3">
        <v>14</v>
      </c>
      <c r="K33" s="5">
        <v>78792.5</v>
      </c>
      <c r="L33" s="5">
        <v>7372.71</v>
      </c>
      <c r="M33" s="3" t="s">
        <v>30</v>
      </c>
      <c r="N33" s="3">
        <v>5</v>
      </c>
      <c r="O33" s="3">
        <v>4</v>
      </c>
      <c r="P33" s="3">
        <v>3</v>
      </c>
      <c r="Q33" s="3">
        <v>8</v>
      </c>
      <c r="R33" s="3" t="s">
        <v>32</v>
      </c>
      <c r="S33" s="3">
        <v>11</v>
      </c>
      <c r="T33" s="3" t="s">
        <v>52</v>
      </c>
      <c r="U33" s="3">
        <v>13</v>
      </c>
      <c r="V33" s="3" t="s">
        <v>32</v>
      </c>
      <c r="W33" s="4"/>
      <c r="X33" s="4" t="str">
        <f t="shared" si="0"/>
        <v>Active</v>
      </c>
      <c r="Y33" s="3" t="s">
        <v>65</v>
      </c>
    </row>
    <row r="34" spans="1:25">
      <c r="A34" s="2">
        <v>10033</v>
      </c>
      <c r="B34" s="3" t="s">
        <v>110</v>
      </c>
      <c r="C34" s="3" t="s">
        <v>41</v>
      </c>
      <c r="D34" s="3">
        <v>50</v>
      </c>
      <c r="E34" s="3" t="s">
        <v>48</v>
      </c>
      <c r="F34" s="3" t="s">
        <v>111</v>
      </c>
      <c r="G34" s="3" t="s">
        <v>28</v>
      </c>
      <c r="H34" s="3" t="s">
        <v>45</v>
      </c>
      <c r="I34" s="4">
        <v>44453</v>
      </c>
      <c r="J34" s="3">
        <v>5</v>
      </c>
      <c r="K34" s="5">
        <v>88101.06</v>
      </c>
      <c r="L34" s="5">
        <v>4855.3100000000004</v>
      </c>
      <c r="M34" s="3" t="s">
        <v>32</v>
      </c>
      <c r="N34" s="3">
        <v>5</v>
      </c>
      <c r="O34" s="3">
        <v>4</v>
      </c>
      <c r="P34" s="3">
        <v>4</v>
      </c>
      <c r="Q34" s="3">
        <v>55</v>
      </c>
      <c r="R34" s="3" t="s">
        <v>32</v>
      </c>
      <c r="S34" s="3">
        <v>19</v>
      </c>
      <c r="T34" s="3" t="s">
        <v>38</v>
      </c>
      <c r="U34" s="3">
        <v>10</v>
      </c>
      <c r="V34" s="3" t="s">
        <v>32</v>
      </c>
      <c r="W34" s="4"/>
      <c r="X34" s="4" t="str">
        <f t="shared" si="0"/>
        <v>Active</v>
      </c>
      <c r="Y34" s="3" t="s">
        <v>55</v>
      </c>
    </row>
    <row r="35" spans="1:25">
      <c r="A35" s="2">
        <v>10034</v>
      </c>
      <c r="B35" s="3" t="s">
        <v>112</v>
      </c>
      <c r="C35" s="3" t="s">
        <v>25</v>
      </c>
      <c r="D35" s="3">
        <v>49</v>
      </c>
      <c r="E35" s="3" t="s">
        <v>26</v>
      </c>
      <c r="F35" s="3" t="s">
        <v>113</v>
      </c>
      <c r="G35" s="3" t="s">
        <v>37</v>
      </c>
      <c r="H35" s="3" t="s">
        <v>45</v>
      </c>
      <c r="I35" s="4">
        <v>43283</v>
      </c>
      <c r="J35" s="3">
        <v>8</v>
      </c>
      <c r="K35" s="5">
        <v>66865.78</v>
      </c>
      <c r="L35" s="5">
        <v>5634.1</v>
      </c>
      <c r="M35" s="3" t="s">
        <v>32</v>
      </c>
      <c r="N35" s="3">
        <v>4</v>
      </c>
      <c r="O35" s="3">
        <v>2</v>
      </c>
      <c r="P35" s="3">
        <v>3</v>
      </c>
      <c r="Q35" s="3">
        <v>33</v>
      </c>
      <c r="R35" s="3" t="s">
        <v>32</v>
      </c>
      <c r="S35" s="3">
        <v>29</v>
      </c>
      <c r="T35" s="3" t="s">
        <v>31</v>
      </c>
      <c r="U35" s="3">
        <v>8</v>
      </c>
      <c r="V35" s="3" t="s">
        <v>32</v>
      </c>
      <c r="W35" s="4"/>
      <c r="X35" s="4" t="str">
        <f t="shared" si="0"/>
        <v>Active</v>
      </c>
      <c r="Y35" s="3" t="s">
        <v>58</v>
      </c>
    </row>
    <row r="36" spans="1:25">
      <c r="A36" s="2">
        <v>10035</v>
      </c>
      <c r="B36" s="3" t="s">
        <v>114</v>
      </c>
      <c r="C36" s="3" t="s">
        <v>25</v>
      </c>
      <c r="D36" s="3">
        <v>47</v>
      </c>
      <c r="E36" s="3" t="s">
        <v>73</v>
      </c>
      <c r="F36" s="3" t="s">
        <v>74</v>
      </c>
      <c r="G36" s="3" t="s">
        <v>37</v>
      </c>
      <c r="H36" s="3" t="s">
        <v>45</v>
      </c>
      <c r="I36" s="4">
        <v>44199</v>
      </c>
      <c r="J36" s="3">
        <v>5</v>
      </c>
      <c r="K36" s="5">
        <v>66890.47</v>
      </c>
      <c r="L36" s="5">
        <v>1487.75</v>
      </c>
      <c r="M36" s="3" t="s">
        <v>30</v>
      </c>
      <c r="N36" s="3">
        <v>4</v>
      </c>
      <c r="O36" s="3">
        <v>2</v>
      </c>
      <c r="P36" s="3">
        <v>3</v>
      </c>
      <c r="Q36" s="3">
        <v>74</v>
      </c>
      <c r="R36" s="3" t="s">
        <v>32</v>
      </c>
      <c r="S36" s="3">
        <v>18</v>
      </c>
      <c r="T36" s="3" t="s">
        <v>31</v>
      </c>
      <c r="U36" s="3">
        <v>11</v>
      </c>
      <c r="V36" s="3" t="s">
        <v>32</v>
      </c>
      <c r="W36" s="4"/>
      <c r="X36" s="4" t="str">
        <f t="shared" si="0"/>
        <v>Active</v>
      </c>
      <c r="Y36" s="3" t="s">
        <v>53</v>
      </c>
    </row>
    <row r="37" spans="1:25">
      <c r="A37" s="2">
        <v>10036</v>
      </c>
      <c r="B37" s="3" t="s">
        <v>115</v>
      </c>
      <c r="C37" s="3" t="s">
        <v>41</v>
      </c>
      <c r="D37" s="3">
        <v>50</v>
      </c>
      <c r="E37" s="3" t="s">
        <v>102</v>
      </c>
      <c r="F37" s="3" t="s">
        <v>116</v>
      </c>
      <c r="G37" s="3" t="s">
        <v>28</v>
      </c>
      <c r="H37" s="3" t="s">
        <v>29</v>
      </c>
      <c r="I37" s="4">
        <v>41756</v>
      </c>
      <c r="J37" s="3">
        <v>12</v>
      </c>
      <c r="K37" s="5">
        <v>49199.66</v>
      </c>
      <c r="L37" s="5">
        <v>5735.43</v>
      </c>
      <c r="M37" s="3" t="s">
        <v>32</v>
      </c>
      <c r="N37" s="3">
        <v>2</v>
      </c>
      <c r="O37" s="3">
        <v>2</v>
      </c>
      <c r="P37" s="3">
        <v>2</v>
      </c>
      <c r="Q37" s="3">
        <v>61</v>
      </c>
      <c r="R37" s="3" t="s">
        <v>32</v>
      </c>
      <c r="S37" s="3">
        <v>19</v>
      </c>
      <c r="T37" s="3" t="s">
        <v>31</v>
      </c>
      <c r="U37" s="3">
        <v>19</v>
      </c>
      <c r="V37" s="3" t="s">
        <v>32</v>
      </c>
      <c r="W37" s="4"/>
      <c r="X37" s="4" t="str">
        <f t="shared" si="0"/>
        <v>Active</v>
      </c>
      <c r="Y37" s="3" t="s">
        <v>65</v>
      </c>
    </row>
    <row r="38" spans="1:25">
      <c r="A38" s="2">
        <v>10037</v>
      </c>
      <c r="B38" s="3" t="s">
        <v>117</v>
      </c>
      <c r="C38" s="3" t="s">
        <v>25</v>
      </c>
      <c r="D38" s="3">
        <v>44</v>
      </c>
      <c r="E38" s="3" t="s">
        <v>26</v>
      </c>
      <c r="F38" s="3" t="s">
        <v>83</v>
      </c>
      <c r="G38" s="3" t="s">
        <v>67</v>
      </c>
      <c r="H38" s="3" t="s">
        <v>45</v>
      </c>
      <c r="I38" s="4">
        <v>41215</v>
      </c>
      <c r="J38" s="3">
        <v>14</v>
      </c>
      <c r="K38" s="5">
        <v>62830.239999999998</v>
      </c>
      <c r="L38" s="5">
        <v>9214.58</v>
      </c>
      <c r="M38" s="3" t="s">
        <v>32</v>
      </c>
      <c r="N38" s="3">
        <v>2</v>
      </c>
      <c r="O38" s="3">
        <v>4</v>
      </c>
      <c r="P38" s="3">
        <v>1</v>
      </c>
      <c r="Q38" s="3">
        <v>1</v>
      </c>
      <c r="R38" s="3" t="s">
        <v>32</v>
      </c>
      <c r="S38" s="3">
        <v>16</v>
      </c>
      <c r="T38" s="3" t="s">
        <v>38</v>
      </c>
      <c r="U38" s="3">
        <v>14</v>
      </c>
      <c r="V38" s="3" t="s">
        <v>32</v>
      </c>
      <c r="W38" s="4"/>
      <c r="X38" s="4" t="str">
        <f t="shared" si="0"/>
        <v>Active</v>
      </c>
      <c r="Y38" s="3" t="s">
        <v>39</v>
      </c>
    </row>
    <row r="39" spans="1:25">
      <c r="A39" s="2">
        <v>10038</v>
      </c>
      <c r="B39" s="3" t="s">
        <v>118</v>
      </c>
      <c r="C39" s="3" t="s">
        <v>41</v>
      </c>
      <c r="D39" s="3">
        <v>25</v>
      </c>
      <c r="E39" s="3" t="s">
        <v>73</v>
      </c>
      <c r="F39" s="3" t="s">
        <v>99</v>
      </c>
      <c r="G39" s="3" t="s">
        <v>67</v>
      </c>
      <c r="H39" s="3" t="s">
        <v>45</v>
      </c>
      <c r="I39" s="4">
        <v>40618</v>
      </c>
      <c r="J39" s="3">
        <v>15</v>
      </c>
      <c r="K39" s="5">
        <v>49103.62</v>
      </c>
      <c r="L39" s="5">
        <v>6159.97</v>
      </c>
      <c r="M39" s="3" t="s">
        <v>32</v>
      </c>
      <c r="N39" s="3">
        <v>1</v>
      </c>
      <c r="O39" s="3">
        <v>2</v>
      </c>
      <c r="P39" s="3">
        <v>1</v>
      </c>
      <c r="Q39" s="3">
        <v>71</v>
      </c>
      <c r="R39" s="3" t="s">
        <v>32</v>
      </c>
      <c r="S39" s="3">
        <v>20</v>
      </c>
      <c r="T39" s="3" t="s">
        <v>31</v>
      </c>
      <c r="U39" s="3">
        <v>19</v>
      </c>
      <c r="V39" s="3" t="s">
        <v>32</v>
      </c>
      <c r="W39" s="4"/>
      <c r="X39" s="4" t="str">
        <f t="shared" si="0"/>
        <v>Active</v>
      </c>
      <c r="Y39" s="3" t="s">
        <v>58</v>
      </c>
    </row>
    <row r="40" spans="1:25">
      <c r="A40" s="2">
        <v>10039</v>
      </c>
      <c r="B40" s="3" t="s">
        <v>119</v>
      </c>
      <c r="C40" s="3" t="s">
        <v>41</v>
      </c>
      <c r="D40" s="3">
        <v>49</v>
      </c>
      <c r="E40" s="3" t="s">
        <v>102</v>
      </c>
      <c r="F40" s="3" t="s">
        <v>103</v>
      </c>
      <c r="G40" s="3" t="s">
        <v>28</v>
      </c>
      <c r="H40" s="3" t="s">
        <v>45</v>
      </c>
      <c r="I40" s="4">
        <v>40672</v>
      </c>
      <c r="J40" s="3">
        <v>15</v>
      </c>
      <c r="K40" s="5">
        <v>62433.39</v>
      </c>
      <c r="L40" s="5">
        <v>7255.48</v>
      </c>
      <c r="M40" s="3" t="s">
        <v>32</v>
      </c>
      <c r="N40" s="3">
        <v>2</v>
      </c>
      <c r="O40" s="3">
        <v>2</v>
      </c>
      <c r="P40" s="3">
        <v>3</v>
      </c>
      <c r="Q40" s="3">
        <v>10</v>
      </c>
      <c r="R40" s="3" t="s">
        <v>30</v>
      </c>
      <c r="S40" s="3">
        <v>6</v>
      </c>
      <c r="T40" s="3" t="s">
        <v>31</v>
      </c>
      <c r="U40" s="3">
        <v>2</v>
      </c>
      <c r="V40" s="3" t="s">
        <v>30</v>
      </c>
      <c r="W40" s="4">
        <v>45398</v>
      </c>
      <c r="X40" s="4" t="str">
        <f t="shared" si="0"/>
        <v>Exited</v>
      </c>
      <c r="Y40" s="3" t="s">
        <v>71</v>
      </c>
    </row>
    <row r="41" spans="1:25">
      <c r="A41" s="2">
        <v>10040</v>
      </c>
      <c r="B41" s="3" t="s">
        <v>120</v>
      </c>
      <c r="C41" s="3" t="s">
        <v>41</v>
      </c>
      <c r="D41" s="3">
        <v>35</v>
      </c>
      <c r="E41" s="3" t="s">
        <v>102</v>
      </c>
      <c r="F41" s="3" t="s">
        <v>116</v>
      </c>
      <c r="G41" s="3" t="s">
        <v>37</v>
      </c>
      <c r="H41" s="3" t="s">
        <v>57</v>
      </c>
      <c r="I41" s="4">
        <v>40762</v>
      </c>
      <c r="J41" s="3">
        <v>15</v>
      </c>
      <c r="K41" s="5">
        <v>65932.320000000007</v>
      </c>
      <c r="L41" s="5">
        <v>9237.67</v>
      </c>
      <c r="M41" s="3" t="s">
        <v>32</v>
      </c>
      <c r="N41" s="3">
        <v>5</v>
      </c>
      <c r="O41" s="3">
        <v>2</v>
      </c>
      <c r="P41" s="3">
        <v>4</v>
      </c>
      <c r="Q41" s="3">
        <v>14</v>
      </c>
      <c r="R41" s="3" t="s">
        <v>32</v>
      </c>
      <c r="S41" s="3">
        <v>21</v>
      </c>
      <c r="T41" s="3" t="s">
        <v>52</v>
      </c>
      <c r="U41" s="3">
        <v>8</v>
      </c>
      <c r="V41" s="3" t="s">
        <v>32</v>
      </c>
      <c r="W41" s="4"/>
      <c r="X41" s="4" t="str">
        <f t="shared" si="0"/>
        <v>Active</v>
      </c>
      <c r="Y41" s="3" t="s">
        <v>65</v>
      </c>
    </row>
    <row r="42" spans="1:25">
      <c r="A42" s="2">
        <v>10041</v>
      </c>
      <c r="B42" s="3" t="s">
        <v>121</v>
      </c>
      <c r="C42" s="3" t="s">
        <v>25</v>
      </c>
      <c r="D42" s="3">
        <v>40</v>
      </c>
      <c r="E42" s="3" t="s">
        <v>60</v>
      </c>
      <c r="F42" s="3" t="s">
        <v>122</v>
      </c>
      <c r="G42" s="3" t="s">
        <v>28</v>
      </c>
      <c r="H42" s="3" t="s">
        <v>57</v>
      </c>
      <c r="I42" s="4">
        <v>42670</v>
      </c>
      <c r="J42" s="3">
        <v>10</v>
      </c>
      <c r="K42" s="5">
        <v>97480.03</v>
      </c>
      <c r="L42" s="5">
        <v>13895.57</v>
      </c>
      <c r="M42" s="3" t="s">
        <v>32</v>
      </c>
      <c r="N42" s="3">
        <v>4</v>
      </c>
      <c r="O42" s="3">
        <v>4</v>
      </c>
      <c r="P42" s="3">
        <v>1</v>
      </c>
      <c r="Q42" s="3">
        <v>76</v>
      </c>
      <c r="R42" s="3" t="s">
        <v>30</v>
      </c>
      <c r="S42" s="3">
        <v>14</v>
      </c>
      <c r="T42" s="3" t="s">
        <v>31</v>
      </c>
      <c r="U42" s="3">
        <v>10</v>
      </c>
      <c r="V42" s="3" t="s">
        <v>32</v>
      </c>
      <c r="W42" s="4"/>
      <c r="X42" s="4" t="str">
        <f t="shared" si="0"/>
        <v>Active</v>
      </c>
      <c r="Y42" s="3" t="s">
        <v>39</v>
      </c>
    </row>
    <row r="43" spans="1:25">
      <c r="A43" s="2">
        <v>10042</v>
      </c>
      <c r="B43" s="3" t="s">
        <v>123</v>
      </c>
      <c r="C43" s="3" t="s">
        <v>25</v>
      </c>
      <c r="D43" s="3">
        <v>57</v>
      </c>
      <c r="E43" s="3" t="s">
        <v>60</v>
      </c>
      <c r="F43" s="3" t="s">
        <v>61</v>
      </c>
      <c r="G43" s="3" t="s">
        <v>78</v>
      </c>
      <c r="H43" s="3" t="s">
        <v>45</v>
      </c>
      <c r="I43" s="4">
        <v>42386</v>
      </c>
      <c r="J43" s="3">
        <v>10</v>
      </c>
      <c r="K43" s="5">
        <v>88218.52</v>
      </c>
      <c r="L43" s="5">
        <v>10516.02</v>
      </c>
      <c r="M43" s="3" t="s">
        <v>30</v>
      </c>
      <c r="N43" s="3">
        <v>5</v>
      </c>
      <c r="O43" s="3">
        <v>4</v>
      </c>
      <c r="P43" s="3">
        <v>3</v>
      </c>
      <c r="Q43" s="3">
        <v>23</v>
      </c>
      <c r="R43" s="3" t="s">
        <v>32</v>
      </c>
      <c r="S43" s="3">
        <v>14</v>
      </c>
      <c r="T43" s="3" t="s">
        <v>31</v>
      </c>
      <c r="U43" s="3">
        <v>15</v>
      </c>
      <c r="V43" s="3" t="s">
        <v>32</v>
      </c>
      <c r="W43" s="4"/>
      <c r="X43" s="4" t="str">
        <f t="shared" si="0"/>
        <v>Active</v>
      </c>
      <c r="Y43" s="3" t="s">
        <v>71</v>
      </c>
    </row>
    <row r="44" spans="1:25">
      <c r="A44" s="2">
        <v>10043</v>
      </c>
      <c r="B44" s="3" t="s">
        <v>124</v>
      </c>
      <c r="C44" s="3" t="s">
        <v>41</v>
      </c>
      <c r="D44" s="3">
        <v>41</v>
      </c>
      <c r="E44" s="3" t="s">
        <v>48</v>
      </c>
      <c r="F44" s="3" t="s">
        <v>125</v>
      </c>
      <c r="G44" s="3" t="s">
        <v>44</v>
      </c>
      <c r="H44" s="3" t="s">
        <v>57</v>
      </c>
      <c r="I44" s="4">
        <v>43551</v>
      </c>
      <c r="J44" s="3">
        <v>7</v>
      </c>
      <c r="K44" s="5">
        <v>73152.05</v>
      </c>
      <c r="L44" s="5">
        <v>4203.92</v>
      </c>
      <c r="M44" s="3" t="s">
        <v>32</v>
      </c>
      <c r="N44" s="3">
        <v>5</v>
      </c>
      <c r="O44" s="3">
        <v>1</v>
      </c>
      <c r="P44" s="3">
        <v>4</v>
      </c>
      <c r="Q44" s="3">
        <v>11</v>
      </c>
      <c r="R44" s="3" t="s">
        <v>32</v>
      </c>
      <c r="S44" s="3">
        <v>11</v>
      </c>
      <c r="T44" s="3" t="s">
        <v>52</v>
      </c>
      <c r="U44" s="3">
        <v>12</v>
      </c>
      <c r="V44" s="3" t="s">
        <v>32</v>
      </c>
      <c r="W44" s="4"/>
      <c r="X44" s="4" t="str">
        <f t="shared" si="0"/>
        <v>Active</v>
      </c>
      <c r="Y44" s="3" t="s">
        <v>55</v>
      </c>
    </row>
    <row r="45" spans="1:25">
      <c r="A45" s="2">
        <v>10044</v>
      </c>
      <c r="B45" s="3" t="s">
        <v>126</v>
      </c>
      <c r="C45" s="3" t="s">
        <v>25</v>
      </c>
      <c r="D45" s="3">
        <v>47</v>
      </c>
      <c r="E45" s="3" t="s">
        <v>42</v>
      </c>
      <c r="F45" s="3" t="s">
        <v>127</v>
      </c>
      <c r="G45" s="3" t="s">
        <v>37</v>
      </c>
      <c r="H45" s="3" t="s">
        <v>45</v>
      </c>
      <c r="I45" s="4">
        <v>44262</v>
      </c>
      <c r="J45" s="3">
        <v>5</v>
      </c>
      <c r="K45" s="5">
        <v>69397.48</v>
      </c>
      <c r="L45" s="5">
        <v>8244.34</v>
      </c>
      <c r="M45" s="3" t="s">
        <v>30</v>
      </c>
      <c r="N45" s="3">
        <v>5</v>
      </c>
      <c r="O45" s="3">
        <v>2</v>
      </c>
      <c r="P45" s="3">
        <v>3</v>
      </c>
      <c r="Q45" s="3">
        <v>56</v>
      </c>
      <c r="R45" s="3" t="s">
        <v>32</v>
      </c>
      <c r="S45" s="3">
        <v>16</v>
      </c>
      <c r="T45" s="3" t="s">
        <v>52</v>
      </c>
      <c r="U45" s="3">
        <v>0</v>
      </c>
      <c r="V45" s="3" t="s">
        <v>32</v>
      </c>
      <c r="W45" s="4"/>
      <c r="X45" s="4" t="str">
        <f t="shared" si="0"/>
        <v>Active</v>
      </c>
      <c r="Y45" s="3" t="s">
        <v>81</v>
      </c>
    </row>
    <row r="46" spans="1:25">
      <c r="A46" s="2">
        <v>10045</v>
      </c>
      <c r="B46" s="3" t="s">
        <v>128</v>
      </c>
      <c r="C46" s="3" t="s">
        <v>25</v>
      </c>
      <c r="D46" s="3">
        <v>56</v>
      </c>
      <c r="E46" s="3" t="s">
        <v>42</v>
      </c>
      <c r="F46" s="3" t="s">
        <v>70</v>
      </c>
      <c r="G46" s="3" t="s">
        <v>67</v>
      </c>
      <c r="H46" s="3" t="s">
        <v>29</v>
      </c>
      <c r="I46" s="4">
        <v>43959</v>
      </c>
      <c r="J46" s="3">
        <v>6</v>
      </c>
      <c r="K46" s="5">
        <v>87088.34</v>
      </c>
      <c r="L46" s="5">
        <v>9074.7999999999993</v>
      </c>
      <c r="M46" s="3" t="s">
        <v>30</v>
      </c>
      <c r="N46" s="3">
        <v>3</v>
      </c>
      <c r="O46" s="3">
        <v>5</v>
      </c>
      <c r="P46" s="3">
        <v>3</v>
      </c>
      <c r="Q46" s="3">
        <v>53</v>
      </c>
      <c r="R46" s="3" t="s">
        <v>32</v>
      </c>
      <c r="S46" s="3">
        <v>16</v>
      </c>
      <c r="T46" s="3" t="s">
        <v>52</v>
      </c>
      <c r="U46" s="3">
        <v>14</v>
      </c>
      <c r="V46" s="3" t="s">
        <v>32</v>
      </c>
      <c r="W46" s="4"/>
      <c r="X46" s="4" t="str">
        <f t="shared" si="0"/>
        <v>Active</v>
      </c>
      <c r="Y46" s="3" t="s">
        <v>33</v>
      </c>
    </row>
    <row r="47" spans="1:25">
      <c r="A47" s="2">
        <v>10046</v>
      </c>
      <c r="B47" s="3" t="s">
        <v>129</v>
      </c>
      <c r="C47" s="3" t="s">
        <v>25</v>
      </c>
      <c r="D47" s="3">
        <v>29</v>
      </c>
      <c r="E47" s="3" t="s">
        <v>35</v>
      </c>
      <c r="F47" s="3" t="s">
        <v>36</v>
      </c>
      <c r="G47" s="3" t="s">
        <v>28</v>
      </c>
      <c r="H47" s="3" t="s">
        <v>57</v>
      </c>
      <c r="I47" s="4">
        <v>42963</v>
      </c>
      <c r="J47" s="3">
        <v>9</v>
      </c>
      <c r="K47" s="5">
        <v>81712.42</v>
      </c>
      <c r="L47" s="5">
        <v>7027.75</v>
      </c>
      <c r="M47" s="3" t="s">
        <v>32</v>
      </c>
      <c r="N47" s="3">
        <v>3</v>
      </c>
      <c r="O47" s="3">
        <v>3</v>
      </c>
      <c r="P47" s="3">
        <v>5</v>
      </c>
      <c r="Q47" s="3">
        <v>74</v>
      </c>
      <c r="R47" s="3" t="s">
        <v>32</v>
      </c>
      <c r="S47" s="3">
        <v>16</v>
      </c>
      <c r="T47" s="3" t="s">
        <v>52</v>
      </c>
      <c r="U47" s="3">
        <v>14</v>
      </c>
      <c r="V47" s="3" t="s">
        <v>32</v>
      </c>
      <c r="W47" s="4"/>
      <c r="X47" s="4" t="str">
        <f t="shared" si="0"/>
        <v>Active</v>
      </c>
      <c r="Y47" s="3" t="s">
        <v>46</v>
      </c>
    </row>
    <row r="48" spans="1:25">
      <c r="A48" s="2">
        <v>10047</v>
      </c>
      <c r="B48" s="3" t="s">
        <v>130</v>
      </c>
      <c r="C48" s="3" t="s">
        <v>41</v>
      </c>
      <c r="D48" s="3">
        <v>55</v>
      </c>
      <c r="E48" s="3" t="s">
        <v>73</v>
      </c>
      <c r="F48" s="3" t="s">
        <v>99</v>
      </c>
      <c r="G48" s="3" t="s">
        <v>78</v>
      </c>
      <c r="H48" s="3" t="s">
        <v>29</v>
      </c>
      <c r="I48" s="4">
        <v>42135</v>
      </c>
      <c r="J48" s="3">
        <v>11</v>
      </c>
      <c r="K48" s="5">
        <v>74307.86</v>
      </c>
      <c r="L48" s="5">
        <v>3742.38</v>
      </c>
      <c r="M48" s="3" t="s">
        <v>32</v>
      </c>
      <c r="N48" s="3">
        <v>1</v>
      </c>
      <c r="O48" s="3">
        <v>3</v>
      </c>
      <c r="P48" s="3">
        <v>4</v>
      </c>
      <c r="Q48" s="3">
        <v>48</v>
      </c>
      <c r="R48" s="3" t="s">
        <v>32</v>
      </c>
      <c r="S48" s="3">
        <v>22</v>
      </c>
      <c r="T48" s="3" t="s">
        <v>31</v>
      </c>
      <c r="U48" s="3">
        <v>4</v>
      </c>
      <c r="V48" s="3" t="s">
        <v>32</v>
      </c>
      <c r="W48" s="4"/>
      <c r="X48" s="4" t="str">
        <f t="shared" si="0"/>
        <v>Active</v>
      </c>
      <c r="Y48" s="3" t="s">
        <v>39</v>
      </c>
    </row>
    <row r="49" spans="1:25">
      <c r="A49" s="2">
        <v>10048</v>
      </c>
      <c r="B49" s="3" t="s">
        <v>131</v>
      </c>
      <c r="C49" s="3" t="s">
        <v>25</v>
      </c>
      <c r="D49" s="3">
        <v>42</v>
      </c>
      <c r="E49" s="3" t="s">
        <v>35</v>
      </c>
      <c r="F49" s="3" t="s">
        <v>36</v>
      </c>
      <c r="G49" s="3" t="s">
        <v>44</v>
      </c>
      <c r="H49" s="3" t="s">
        <v>57</v>
      </c>
      <c r="I49" s="4">
        <v>40995</v>
      </c>
      <c r="J49" s="3">
        <v>14</v>
      </c>
      <c r="K49" s="5">
        <v>61297.55</v>
      </c>
      <c r="L49" s="5">
        <v>4867.07</v>
      </c>
      <c r="M49" s="3" t="s">
        <v>32</v>
      </c>
      <c r="N49" s="3">
        <v>4</v>
      </c>
      <c r="O49" s="3">
        <v>2</v>
      </c>
      <c r="P49" s="3">
        <v>1</v>
      </c>
      <c r="Q49" s="3">
        <v>60</v>
      </c>
      <c r="R49" s="3" t="s">
        <v>32</v>
      </c>
      <c r="S49" s="3">
        <v>9</v>
      </c>
      <c r="T49" s="3" t="s">
        <v>38</v>
      </c>
      <c r="U49" s="3">
        <v>19</v>
      </c>
      <c r="V49" s="3" t="s">
        <v>32</v>
      </c>
      <c r="W49" s="4"/>
      <c r="X49" s="4" t="str">
        <f t="shared" si="0"/>
        <v>Active</v>
      </c>
      <c r="Y49" s="3" t="s">
        <v>132</v>
      </c>
    </row>
    <row r="50" spans="1:25">
      <c r="A50" s="2">
        <v>10049</v>
      </c>
      <c r="B50" s="3" t="s">
        <v>133</v>
      </c>
      <c r="C50" s="3" t="s">
        <v>25</v>
      </c>
      <c r="D50" s="3">
        <v>55</v>
      </c>
      <c r="E50" s="3" t="s">
        <v>73</v>
      </c>
      <c r="F50" s="3" t="s">
        <v>77</v>
      </c>
      <c r="G50" s="3" t="s">
        <v>37</v>
      </c>
      <c r="H50" s="3" t="s">
        <v>57</v>
      </c>
      <c r="I50" s="4">
        <v>44611</v>
      </c>
      <c r="J50" s="3">
        <v>4</v>
      </c>
      <c r="K50" s="5">
        <v>42153.95</v>
      </c>
      <c r="L50" s="5">
        <v>1218.03</v>
      </c>
      <c r="M50" s="3" t="s">
        <v>32</v>
      </c>
      <c r="N50" s="3">
        <v>3</v>
      </c>
      <c r="O50" s="3">
        <v>2</v>
      </c>
      <c r="P50" s="3">
        <v>1</v>
      </c>
      <c r="Q50" s="3">
        <v>55</v>
      </c>
      <c r="R50" s="3" t="s">
        <v>32</v>
      </c>
      <c r="S50" s="3">
        <v>25</v>
      </c>
      <c r="T50" s="3" t="s">
        <v>31</v>
      </c>
      <c r="U50" s="3">
        <v>3</v>
      </c>
      <c r="V50" s="3" t="s">
        <v>32</v>
      </c>
      <c r="W50" s="4"/>
      <c r="X50" s="4" t="str">
        <f t="shared" si="0"/>
        <v>Active</v>
      </c>
      <c r="Y50" s="3" t="s">
        <v>53</v>
      </c>
    </row>
    <row r="51" spans="1:25">
      <c r="A51" s="2">
        <v>10050</v>
      </c>
      <c r="B51" s="3" t="s">
        <v>134</v>
      </c>
      <c r="C51" s="3" t="s">
        <v>41</v>
      </c>
      <c r="D51" s="3">
        <v>41</v>
      </c>
      <c r="E51" s="3" t="s">
        <v>35</v>
      </c>
      <c r="F51" s="3" t="s">
        <v>36</v>
      </c>
      <c r="G51" s="3" t="s">
        <v>28</v>
      </c>
      <c r="H51" s="3" t="s">
        <v>57</v>
      </c>
      <c r="I51" s="4">
        <v>43707</v>
      </c>
      <c r="J51" s="3">
        <v>7</v>
      </c>
      <c r="K51" s="5">
        <v>42278.49</v>
      </c>
      <c r="L51" s="5">
        <v>3764.97</v>
      </c>
      <c r="M51" s="3" t="s">
        <v>32</v>
      </c>
      <c r="N51" s="3">
        <v>2</v>
      </c>
      <c r="O51" s="3">
        <v>2</v>
      </c>
      <c r="P51" s="3">
        <v>2</v>
      </c>
      <c r="Q51" s="3">
        <v>10</v>
      </c>
      <c r="R51" s="3" t="s">
        <v>32</v>
      </c>
      <c r="S51" s="3">
        <v>13</v>
      </c>
      <c r="T51" s="3" t="s">
        <v>31</v>
      </c>
      <c r="U51" s="3">
        <v>7</v>
      </c>
      <c r="V51" s="3" t="s">
        <v>32</v>
      </c>
      <c r="W51" s="4"/>
      <c r="X51" s="4" t="str">
        <f t="shared" si="0"/>
        <v>Active</v>
      </c>
      <c r="Y51" s="3" t="s">
        <v>81</v>
      </c>
    </row>
    <row r="52" spans="1:25">
      <c r="A52" s="2">
        <v>10051</v>
      </c>
      <c r="B52" s="3" t="s">
        <v>135</v>
      </c>
      <c r="C52" s="3" t="s">
        <v>25</v>
      </c>
      <c r="D52" s="3">
        <v>37</v>
      </c>
      <c r="E52" s="3" t="s">
        <v>73</v>
      </c>
      <c r="F52" s="3" t="s">
        <v>77</v>
      </c>
      <c r="G52" s="3" t="s">
        <v>37</v>
      </c>
      <c r="H52" s="3" t="s">
        <v>57</v>
      </c>
      <c r="I52" s="4">
        <v>42535</v>
      </c>
      <c r="J52" s="3">
        <v>10</v>
      </c>
      <c r="K52" s="5">
        <v>80656.649999999994</v>
      </c>
      <c r="L52" s="5">
        <v>3269.56</v>
      </c>
      <c r="M52" s="3" t="s">
        <v>32</v>
      </c>
      <c r="N52" s="3">
        <v>3</v>
      </c>
      <c r="O52" s="3">
        <v>5</v>
      </c>
      <c r="P52" s="3">
        <v>3</v>
      </c>
      <c r="Q52" s="3">
        <v>54</v>
      </c>
      <c r="R52" s="3" t="s">
        <v>32</v>
      </c>
      <c r="S52" s="3">
        <v>15</v>
      </c>
      <c r="T52" s="3" t="s">
        <v>38</v>
      </c>
      <c r="U52" s="3">
        <v>6</v>
      </c>
      <c r="V52" s="3" t="s">
        <v>32</v>
      </c>
      <c r="W52" s="4"/>
      <c r="X52" s="4" t="str">
        <f t="shared" si="0"/>
        <v>Active</v>
      </c>
      <c r="Y52" s="3" t="s">
        <v>55</v>
      </c>
    </row>
    <row r="53" spans="1:25">
      <c r="A53" s="2">
        <v>10052</v>
      </c>
      <c r="B53" s="3" t="s">
        <v>136</v>
      </c>
      <c r="C53" s="3" t="s">
        <v>41</v>
      </c>
      <c r="D53" s="3">
        <v>45</v>
      </c>
      <c r="E53" s="3" t="s">
        <v>60</v>
      </c>
      <c r="F53" s="3" t="s">
        <v>122</v>
      </c>
      <c r="G53" s="3" t="s">
        <v>37</v>
      </c>
      <c r="H53" s="3" t="s">
        <v>45</v>
      </c>
      <c r="I53" s="4">
        <v>42597</v>
      </c>
      <c r="J53" s="3">
        <v>10</v>
      </c>
      <c r="K53" s="5">
        <v>46645.47</v>
      </c>
      <c r="L53" s="5">
        <v>5966.18</v>
      </c>
      <c r="M53" s="3" t="s">
        <v>32</v>
      </c>
      <c r="N53" s="3">
        <v>1</v>
      </c>
      <c r="O53" s="3">
        <v>5</v>
      </c>
      <c r="P53" s="3">
        <v>1</v>
      </c>
      <c r="Q53" s="3">
        <v>77</v>
      </c>
      <c r="R53" s="3" t="s">
        <v>32</v>
      </c>
      <c r="S53" s="3">
        <v>27</v>
      </c>
      <c r="T53" s="3" t="s">
        <v>38</v>
      </c>
      <c r="U53" s="3">
        <v>7</v>
      </c>
      <c r="V53" s="3" t="s">
        <v>32</v>
      </c>
      <c r="W53" s="4"/>
      <c r="X53" s="4" t="str">
        <f t="shared" si="0"/>
        <v>Active</v>
      </c>
      <c r="Y53" s="3" t="s">
        <v>46</v>
      </c>
    </row>
    <row r="54" spans="1:25">
      <c r="A54" s="2">
        <v>10053</v>
      </c>
      <c r="B54" s="3" t="s">
        <v>137</v>
      </c>
      <c r="C54" s="3" t="s">
        <v>25</v>
      </c>
      <c r="D54" s="3">
        <v>37</v>
      </c>
      <c r="E54" s="3" t="s">
        <v>48</v>
      </c>
      <c r="F54" s="3" t="s">
        <v>111</v>
      </c>
      <c r="G54" s="3" t="s">
        <v>37</v>
      </c>
      <c r="H54" s="3" t="s">
        <v>45</v>
      </c>
      <c r="I54" s="4">
        <v>45473</v>
      </c>
      <c r="J54" s="3">
        <v>2</v>
      </c>
      <c r="K54" s="5">
        <v>37168.239999999998</v>
      </c>
      <c r="L54" s="5">
        <v>4553.83</v>
      </c>
      <c r="M54" s="3" t="s">
        <v>30</v>
      </c>
      <c r="N54" s="3">
        <v>3</v>
      </c>
      <c r="O54" s="3">
        <v>2</v>
      </c>
      <c r="P54" s="3">
        <v>1</v>
      </c>
      <c r="Q54" s="3">
        <v>37</v>
      </c>
      <c r="R54" s="3" t="s">
        <v>32</v>
      </c>
      <c r="S54" s="3">
        <v>14</v>
      </c>
      <c r="T54" s="3" t="s">
        <v>52</v>
      </c>
      <c r="U54" s="3">
        <v>6</v>
      </c>
      <c r="V54" s="3" t="s">
        <v>30</v>
      </c>
      <c r="W54" s="4">
        <v>46041</v>
      </c>
      <c r="X54" s="4" t="str">
        <f t="shared" si="0"/>
        <v>Exited</v>
      </c>
      <c r="Y54" s="3" t="s">
        <v>58</v>
      </c>
    </row>
    <row r="55" spans="1:25">
      <c r="A55" s="2">
        <v>10054</v>
      </c>
      <c r="B55" s="3" t="s">
        <v>138</v>
      </c>
      <c r="C55" s="3" t="s">
        <v>41</v>
      </c>
      <c r="D55" s="3">
        <v>51</v>
      </c>
      <c r="E55" s="3" t="s">
        <v>35</v>
      </c>
      <c r="F55" s="3" t="s">
        <v>51</v>
      </c>
      <c r="G55" s="3" t="s">
        <v>37</v>
      </c>
      <c r="H55" s="3" t="s">
        <v>57</v>
      </c>
      <c r="I55" s="4">
        <v>41122</v>
      </c>
      <c r="J55" s="3">
        <v>14</v>
      </c>
      <c r="K55" s="5">
        <v>58416.57</v>
      </c>
      <c r="L55" s="5">
        <v>1740.17</v>
      </c>
      <c r="M55" s="3" t="s">
        <v>32</v>
      </c>
      <c r="N55" s="3">
        <v>2</v>
      </c>
      <c r="O55" s="3">
        <v>4</v>
      </c>
      <c r="P55" s="3">
        <v>5</v>
      </c>
      <c r="Q55" s="3">
        <v>46</v>
      </c>
      <c r="R55" s="3" t="s">
        <v>30</v>
      </c>
      <c r="S55" s="3">
        <v>13</v>
      </c>
      <c r="T55" s="3" t="s">
        <v>52</v>
      </c>
      <c r="U55" s="3">
        <v>8</v>
      </c>
      <c r="V55" s="3" t="s">
        <v>32</v>
      </c>
      <c r="W55" s="4"/>
      <c r="X55" s="4" t="str">
        <f t="shared" si="0"/>
        <v>Active</v>
      </c>
      <c r="Y55" s="3" t="s">
        <v>71</v>
      </c>
    </row>
    <row r="56" spans="1:25">
      <c r="A56" s="2">
        <v>10055</v>
      </c>
      <c r="B56" s="3" t="s">
        <v>139</v>
      </c>
      <c r="C56" s="3" t="s">
        <v>41</v>
      </c>
      <c r="D56" s="3">
        <v>45</v>
      </c>
      <c r="E56" s="3" t="s">
        <v>35</v>
      </c>
      <c r="F56" s="3" t="s">
        <v>51</v>
      </c>
      <c r="G56" s="3" t="s">
        <v>28</v>
      </c>
      <c r="H56" s="3" t="s">
        <v>29</v>
      </c>
      <c r="I56" s="4">
        <v>44041</v>
      </c>
      <c r="J56" s="3">
        <v>6</v>
      </c>
      <c r="K56" s="5">
        <v>36251.230000000003</v>
      </c>
      <c r="L56" s="5">
        <v>4892.12</v>
      </c>
      <c r="M56" s="3" t="s">
        <v>32</v>
      </c>
      <c r="N56" s="3">
        <v>5</v>
      </c>
      <c r="O56" s="3">
        <v>2</v>
      </c>
      <c r="P56" s="3">
        <v>1</v>
      </c>
      <c r="Q56" s="3">
        <v>59</v>
      </c>
      <c r="R56" s="3" t="s">
        <v>32</v>
      </c>
      <c r="S56" s="3">
        <v>10</v>
      </c>
      <c r="T56" s="3" t="s">
        <v>31</v>
      </c>
      <c r="U56" s="3">
        <v>13</v>
      </c>
      <c r="V56" s="3" t="s">
        <v>30</v>
      </c>
      <c r="W56" s="4">
        <v>44654</v>
      </c>
      <c r="X56" s="4" t="str">
        <f t="shared" si="0"/>
        <v>Exited</v>
      </c>
      <c r="Y56" s="3" t="s">
        <v>39</v>
      </c>
    </row>
    <row r="57" spans="1:25">
      <c r="A57" s="2">
        <v>10056</v>
      </c>
      <c r="B57" s="3" t="s">
        <v>118</v>
      </c>
      <c r="C57" s="3" t="s">
        <v>41</v>
      </c>
      <c r="D57" s="3">
        <v>27</v>
      </c>
      <c r="E57" s="3" t="s">
        <v>26</v>
      </c>
      <c r="F57" s="3" t="s">
        <v>27</v>
      </c>
      <c r="G57" s="3" t="s">
        <v>28</v>
      </c>
      <c r="H57" s="3" t="s">
        <v>57</v>
      </c>
      <c r="I57" s="4">
        <v>44604</v>
      </c>
      <c r="J57" s="3">
        <v>4</v>
      </c>
      <c r="K57" s="5">
        <v>72243.240000000005</v>
      </c>
      <c r="L57" s="5">
        <v>8415.9699999999993</v>
      </c>
      <c r="M57" s="3" t="s">
        <v>30</v>
      </c>
      <c r="N57" s="3">
        <v>4</v>
      </c>
      <c r="O57" s="3">
        <v>1</v>
      </c>
      <c r="P57" s="3">
        <v>4</v>
      </c>
      <c r="Q57" s="3">
        <v>78</v>
      </c>
      <c r="R57" s="3" t="s">
        <v>32</v>
      </c>
      <c r="S57" s="3">
        <v>9</v>
      </c>
      <c r="T57" s="3" t="s">
        <v>52</v>
      </c>
      <c r="U57" s="3">
        <v>11</v>
      </c>
      <c r="V57" s="3" t="s">
        <v>32</v>
      </c>
      <c r="W57" s="4"/>
      <c r="X57" s="4" t="str">
        <f t="shared" si="0"/>
        <v>Active</v>
      </c>
      <c r="Y57" s="3" t="s">
        <v>71</v>
      </c>
    </row>
    <row r="58" spans="1:25">
      <c r="A58" s="2">
        <v>10057</v>
      </c>
      <c r="B58" s="3" t="s">
        <v>140</v>
      </c>
      <c r="C58" s="3" t="s">
        <v>25</v>
      </c>
      <c r="D58" s="3">
        <v>44</v>
      </c>
      <c r="E58" s="3" t="s">
        <v>60</v>
      </c>
      <c r="F58" s="3" t="s">
        <v>122</v>
      </c>
      <c r="G58" s="3" t="s">
        <v>67</v>
      </c>
      <c r="H58" s="3" t="s">
        <v>57</v>
      </c>
      <c r="I58" s="4">
        <v>41733</v>
      </c>
      <c r="J58" s="3">
        <v>12</v>
      </c>
      <c r="K58" s="5">
        <v>117615.52</v>
      </c>
      <c r="L58" s="5">
        <v>16862.7</v>
      </c>
      <c r="M58" s="3" t="s">
        <v>32</v>
      </c>
      <c r="N58" s="3">
        <v>1</v>
      </c>
      <c r="O58" s="3">
        <v>2</v>
      </c>
      <c r="P58" s="3">
        <v>5</v>
      </c>
      <c r="Q58" s="3">
        <v>2</v>
      </c>
      <c r="R58" s="3" t="s">
        <v>30</v>
      </c>
      <c r="S58" s="3">
        <v>11</v>
      </c>
      <c r="T58" s="3" t="s">
        <v>52</v>
      </c>
      <c r="U58" s="3">
        <v>4</v>
      </c>
      <c r="V58" s="3" t="s">
        <v>32</v>
      </c>
      <c r="W58" s="4"/>
      <c r="X58" s="4" t="str">
        <f t="shared" si="0"/>
        <v>Active</v>
      </c>
      <c r="Y58" s="3" t="s">
        <v>68</v>
      </c>
    </row>
    <row r="59" spans="1:25">
      <c r="A59" s="2">
        <v>10058</v>
      </c>
      <c r="B59" s="3" t="s">
        <v>141</v>
      </c>
      <c r="C59" s="3" t="s">
        <v>25</v>
      </c>
      <c r="D59" s="3">
        <v>58</v>
      </c>
      <c r="E59" s="3" t="s">
        <v>26</v>
      </c>
      <c r="F59" s="3" t="s">
        <v>27</v>
      </c>
      <c r="G59" s="3" t="s">
        <v>28</v>
      </c>
      <c r="H59" s="3" t="s">
        <v>29</v>
      </c>
      <c r="I59" s="4">
        <v>45061</v>
      </c>
      <c r="J59" s="3">
        <v>3</v>
      </c>
      <c r="K59" s="5">
        <v>45184.31</v>
      </c>
      <c r="L59" s="5">
        <v>5945.93</v>
      </c>
      <c r="M59" s="3" t="s">
        <v>30</v>
      </c>
      <c r="N59" s="3">
        <v>2</v>
      </c>
      <c r="O59" s="3">
        <v>5</v>
      </c>
      <c r="P59" s="3">
        <v>3</v>
      </c>
      <c r="Q59" s="3">
        <v>22</v>
      </c>
      <c r="R59" s="3" t="s">
        <v>30</v>
      </c>
      <c r="S59" s="3">
        <v>28</v>
      </c>
      <c r="T59" s="3" t="s">
        <v>52</v>
      </c>
      <c r="U59" s="3">
        <v>4</v>
      </c>
      <c r="V59" s="3" t="s">
        <v>30</v>
      </c>
      <c r="W59" s="4">
        <v>45414</v>
      </c>
      <c r="X59" s="4" t="str">
        <f t="shared" si="0"/>
        <v>Exited</v>
      </c>
      <c r="Y59" s="3" t="s">
        <v>81</v>
      </c>
    </row>
    <row r="60" spans="1:25">
      <c r="A60" s="2">
        <v>10059</v>
      </c>
      <c r="B60" s="3" t="s">
        <v>142</v>
      </c>
      <c r="C60" s="3" t="s">
        <v>41</v>
      </c>
      <c r="D60" s="3">
        <v>37</v>
      </c>
      <c r="E60" s="3" t="s">
        <v>42</v>
      </c>
      <c r="F60" s="3" t="s">
        <v>127</v>
      </c>
      <c r="G60" s="3" t="s">
        <v>37</v>
      </c>
      <c r="H60" s="3" t="s">
        <v>45</v>
      </c>
      <c r="I60" s="4">
        <v>41110</v>
      </c>
      <c r="J60" s="3">
        <v>14</v>
      </c>
      <c r="K60" s="5">
        <v>76011.59</v>
      </c>
      <c r="L60" s="5">
        <v>6226.26</v>
      </c>
      <c r="M60" s="3" t="s">
        <v>32</v>
      </c>
      <c r="N60" s="3">
        <v>5</v>
      </c>
      <c r="O60" s="3">
        <v>5</v>
      </c>
      <c r="P60" s="3">
        <v>1</v>
      </c>
      <c r="Q60" s="3">
        <v>57</v>
      </c>
      <c r="R60" s="3" t="s">
        <v>32</v>
      </c>
      <c r="S60" s="3">
        <v>20</v>
      </c>
      <c r="T60" s="3" t="s">
        <v>52</v>
      </c>
      <c r="U60" s="3">
        <v>16</v>
      </c>
      <c r="V60" s="3" t="s">
        <v>32</v>
      </c>
      <c r="W60" s="4"/>
      <c r="X60" s="4" t="str">
        <f t="shared" si="0"/>
        <v>Active</v>
      </c>
      <c r="Y60" s="3" t="s">
        <v>132</v>
      </c>
    </row>
    <row r="61" spans="1:25">
      <c r="A61" s="2">
        <v>10060</v>
      </c>
      <c r="B61" s="3" t="s">
        <v>143</v>
      </c>
      <c r="C61" s="3" t="s">
        <v>25</v>
      </c>
      <c r="D61" s="3">
        <v>46</v>
      </c>
      <c r="E61" s="3" t="s">
        <v>73</v>
      </c>
      <c r="F61" s="3" t="s">
        <v>95</v>
      </c>
      <c r="G61" s="3" t="s">
        <v>28</v>
      </c>
      <c r="H61" s="3" t="s">
        <v>57</v>
      </c>
      <c r="I61" s="4">
        <v>40781</v>
      </c>
      <c r="J61" s="3">
        <v>15</v>
      </c>
      <c r="K61" s="5">
        <v>93956.01</v>
      </c>
      <c r="L61" s="5">
        <v>5813.48</v>
      </c>
      <c r="M61" s="3" t="s">
        <v>30</v>
      </c>
      <c r="N61" s="3">
        <v>2</v>
      </c>
      <c r="O61" s="3">
        <v>3</v>
      </c>
      <c r="P61" s="3">
        <v>5</v>
      </c>
      <c r="Q61" s="3">
        <v>74</v>
      </c>
      <c r="R61" s="3" t="s">
        <v>32</v>
      </c>
      <c r="S61" s="3">
        <v>11</v>
      </c>
      <c r="T61" s="3" t="s">
        <v>38</v>
      </c>
      <c r="U61" s="3">
        <v>19</v>
      </c>
      <c r="V61" s="3" t="s">
        <v>32</v>
      </c>
      <c r="W61" s="4"/>
      <c r="X61" s="4" t="str">
        <f t="shared" si="0"/>
        <v>Active</v>
      </c>
      <c r="Y61" s="3" t="s">
        <v>71</v>
      </c>
    </row>
    <row r="62" spans="1:25">
      <c r="A62" s="2">
        <v>10061</v>
      </c>
      <c r="B62" s="3" t="s">
        <v>144</v>
      </c>
      <c r="C62" s="3" t="s">
        <v>41</v>
      </c>
      <c r="D62" s="3">
        <v>28</v>
      </c>
      <c r="E62" s="3" t="s">
        <v>35</v>
      </c>
      <c r="F62" s="3" t="s">
        <v>80</v>
      </c>
      <c r="G62" s="3" t="s">
        <v>28</v>
      </c>
      <c r="H62" s="3" t="s">
        <v>29</v>
      </c>
      <c r="I62" s="4">
        <v>43568</v>
      </c>
      <c r="J62" s="3">
        <v>7</v>
      </c>
      <c r="K62" s="5">
        <v>51946.58</v>
      </c>
      <c r="L62" s="5">
        <v>4101.43</v>
      </c>
      <c r="M62" s="3" t="s">
        <v>32</v>
      </c>
      <c r="N62" s="3">
        <v>1</v>
      </c>
      <c r="O62" s="3">
        <v>3</v>
      </c>
      <c r="P62" s="3">
        <v>4</v>
      </c>
      <c r="Q62" s="3">
        <v>40</v>
      </c>
      <c r="R62" s="3" t="s">
        <v>32</v>
      </c>
      <c r="S62" s="3">
        <v>12</v>
      </c>
      <c r="T62" s="3" t="s">
        <v>52</v>
      </c>
      <c r="U62" s="3">
        <v>15</v>
      </c>
      <c r="V62" s="3" t="s">
        <v>30</v>
      </c>
      <c r="W62" s="4">
        <v>46265</v>
      </c>
      <c r="X62" s="4" t="str">
        <f t="shared" si="0"/>
        <v>Exited</v>
      </c>
      <c r="Y62" s="3" t="s">
        <v>65</v>
      </c>
    </row>
    <row r="63" spans="1:25">
      <c r="A63" s="2">
        <v>10062</v>
      </c>
      <c r="B63" s="3" t="s">
        <v>145</v>
      </c>
      <c r="C63" s="3" t="s">
        <v>25</v>
      </c>
      <c r="D63" s="3">
        <v>44</v>
      </c>
      <c r="E63" s="3" t="s">
        <v>35</v>
      </c>
      <c r="F63" s="3" t="s">
        <v>80</v>
      </c>
      <c r="G63" s="3" t="s">
        <v>37</v>
      </c>
      <c r="H63" s="3" t="s">
        <v>45</v>
      </c>
      <c r="I63" s="4">
        <v>44779</v>
      </c>
      <c r="J63" s="3">
        <v>4</v>
      </c>
      <c r="K63" s="5">
        <v>63084.17</v>
      </c>
      <c r="L63" s="5">
        <v>6756.42</v>
      </c>
      <c r="M63" s="3" t="s">
        <v>32</v>
      </c>
      <c r="N63" s="3">
        <v>4</v>
      </c>
      <c r="O63" s="3">
        <v>1</v>
      </c>
      <c r="P63" s="3">
        <v>3</v>
      </c>
      <c r="Q63" s="3">
        <v>76</v>
      </c>
      <c r="R63" s="3" t="s">
        <v>32</v>
      </c>
      <c r="S63" s="3">
        <v>4</v>
      </c>
      <c r="T63" s="3" t="s">
        <v>31</v>
      </c>
      <c r="U63" s="3">
        <v>16</v>
      </c>
      <c r="V63" s="3" t="s">
        <v>32</v>
      </c>
      <c r="W63" s="4"/>
      <c r="X63" s="4" t="str">
        <f t="shared" si="0"/>
        <v>Active</v>
      </c>
      <c r="Y63" s="3" t="s">
        <v>132</v>
      </c>
    </row>
    <row r="64" spans="1:25">
      <c r="A64" s="2">
        <v>10063</v>
      </c>
      <c r="B64" s="3" t="s">
        <v>146</v>
      </c>
      <c r="C64" s="3" t="s">
        <v>41</v>
      </c>
      <c r="D64" s="3">
        <v>27</v>
      </c>
      <c r="E64" s="3" t="s">
        <v>102</v>
      </c>
      <c r="F64" s="3" t="s">
        <v>116</v>
      </c>
      <c r="G64" s="3" t="s">
        <v>28</v>
      </c>
      <c r="H64" s="3" t="s">
        <v>57</v>
      </c>
      <c r="I64" s="4">
        <v>44882</v>
      </c>
      <c r="J64" s="3">
        <v>4</v>
      </c>
      <c r="K64" s="5">
        <v>45177.16</v>
      </c>
      <c r="L64" s="5">
        <v>3423.73</v>
      </c>
      <c r="M64" s="3" t="s">
        <v>32</v>
      </c>
      <c r="N64" s="3">
        <v>5</v>
      </c>
      <c r="O64" s="3">
        <v>5</v>
      </c>
      <c r="P64" s="3">
        <v>5</v>
      </c>
      <c r="Q64" s="3">
        <v>3</v>
      </c>
      <c r="R64" s="3" t="s">
        <v>32</v>
      </c>
      <c r="S64" s="3">
        <v>22</v>
      </c>
      <c r="T64" s="3" t="s">
        <v>31</v>
      </c>
      <c r="U64" s="3">
        <v>8</v>
      </c>
      <c r="V64" s="3" t="s">
        <v>30</v>
      </c>
      <c r="W64" s="4">
        <v>45121</v>
      </c>
      <c r="X64" s="4" t="str">
        <f t="shared" si="0"/>
        <v>Exited</v>
      </c>
      <c r="Y64" s="3" t="s">
        <v>53</v>
      </c>
    </row>
    <row r="65" spans="1:25">
      <c r="A65" s="2">
        <v>10064</v>
      </c>
      <c r="B65" s="3" t="s">
        <v>147</v>
      </c>
      <c r="C65" s="3" t="s">
        <v>41</v>
      </c>
      <c r="D65" s="3">
        <v>21</v>
      </c>
      <c r="E65" s="3" t="s">
        <v>26</v>
      </c>
      <c r="F65" s="3" t="s">
        <v>27</v>
      </c>
      <c r="G65" s="3" t="s">
        <v>37</v>
      </c>
      <c r="H65" s="3" t="s">
        <v>57</v>
      </c>
      <c r="I65" s="4">
        <v>40749</v>
      </c>
      <c r="J65" s="3">
        <v>15</v>
      </c>
      <c r="K65" s="5">
        <v>54221.85</v>
      </c>
      <c r="L65" s="5">
        <v>5547.57</v>
      </c>
      <c r="M65" s="3" t="s">
        <v>30</v>
      </c>
      <c r="N65" s="3">
        <v>5</v>
      </c>
      <c r="O65" s="3">
        <v>2</v>
      </c>
      <c r="P65" s="3">
        <v>4</v>
      </c>
      <c r="Q65" s="3">
        <v>53</v>
      </c>
      <c r="R65" s="3" t="s">
        <v>32</v>
      </c>
      <c r="S65" s="3">
        <v>6</v>
      </c>
      <c r="T65" s="3" t="s">
        <v>38</v>
      </c>
      <c r="U65" s="3">
        <v>9</v>
      </c>
      <c r="V65" s="3" t="s">
        <v>32</v>
      </c>
      <c r="W65" s="4"/>
      <c r="X65" s="4" t="str">
        <f t="shared" si="0"/>
        <v>Active</v>
      </c>
      <c r="Y65" s="3" t="s">
        <v>62</v>
      </c>
    </row>
    <row r="66" spans="1:25">
      <c r="A66" s="2">
        <v>10065</v>
      </c>
      <c r="B66" s="3" t="s">
        <v>148</v>
      </c>
      <c r="C66" s="3" t="s">
        <v>25</v>
      </c>
      <c r="D66" s="3">
        <v>31</v>
      </c>
      <c r="E66" s="3" t="s">
        <v>35</v>
      </c>
      <c r="F66" s="3" t="s">
        <v>36</v>
      </c>
      <c r="G66" s="3" t="s">
        <v>37</v>
      </c>
      <c r="H66" s="3" t="s">
        <v>57</v>
      </c>
      <c r="I66" s="4">
        <v>43808</v>
      </c>
      <c r="J66" s="3">
        <v>7</v>
      </c>
      <c r="K66" s="5">
        <v>68096.929999999993</v>
      </c>
      <c r="L66" s="5">
        <v>5661.31</v>
      </c>
      <c r="M66" s="3" t="s">
        <v>32</v>
      </c>
      <c r="N66" s="3">
        <v>3</v>
      </c>
      <c r="O66" s="3">
        <v>2</v>
      </c>
      <c r="P66" s="3">
        <v>5</v>
      </c>
      <c r="Q66" s="3">
        <v>14</v>
      </c>
      <c r="R66" s="3" t="s">
        <v>32</v>
      </c>
      <c r="S66" s="3">
        <v>4</v>
      </c>
      <c r="T66" s="3" t="s">
        <v>38</v>
      </c>
      <c r="U66" s="3">
        <v>18</v>
      </c>
      <c r="V66" s="3" t="s">
        <v>32</v>
      </c>
      <c r="W66" s="4"/>
      <c r="X66" s="4" t="str">
        <f t="shared" ref="X66:X129" si="1">IF(W66="","Active","Exited")</f>
        <v>Active</v>
      </c>
      <c r="Y66" s="3" t="s">
        <v>132</v>
      </c>
    </row>
    <row r="67" spans="1:25">
      <c r="A67" s="2">
        <v>10066</v>
      </c>
      <c r="B67" s="3" t="s">
        <v>149</v>
      </c>
      <c r="C67" s="3" t="s">
        <v>41</v>
      </c>
      <c r="D67" s="3">
        <v>46</v>
      </c>
      <c r="E67" s="3" t="s">
        <v>60</v>
      </c>
      <c r="F67" s="3" t="s">
        <v>61</v>
      </c>
      <c r="G67" s="3" t="s">
        <v>67</v>
      </c>
      <c r="H67" s="3" t="s">
        <v>57</v>
      </c>
      <c r="I67" s="4">
        <v>41909</v>
      </c>
      <c r="J67" s="3">
        <v>12</v>
      </c>
      <c r="K67" s="5">
        <v>102551.21</v>
      </c>
      <c r="L67" s="5">
        <v>12238.56</v>
      </c>
      <c r="M67" s="3" t="s">
        <v>30</v>
      </c>
      <c r="N67" s="3">
        <v>1</v>
      </c>
      <c r="O67" s="3">
        <v>1</v>
      </c>
      <c r="P67" s="3">
        <v>4</v>
      </c>
      <c r="Q67" s="3">
        <v>55</v>
      </c>
      <c r="R67" s="3" t="s">
        <v>30</v>
      </c>
      <c r="S67" s="3">
        <v>13</v>
      </c>
      <c r="T67" s="3" t="s">
        <v>31</v>
      </c>
      <c r="U67" s="3">
        <v>7</v>
      </c>
      <c r="V67" s="3" t="s">
        <v>32</v>
      </c>
      <c r="W67" s="4"/>
      <c r="X67" s="4" t="str">
        <f t="shared" si="1"/>
        <v>Active</v>
      </c>
      <c r="Y67" s="3" t="s">
        <v>55</v>
      </c>
    </row>
    <row r="68" spans="1:25">
      <c r="A68" s="2">
        <v>10067</v>
      </c>
      <c r="B68" s="3" t="s">
        <v>150</v>
      </c>
      <c r="C68" s="3" t="s">
        <v>41</v>
      </c>
      <c r="D68" s="3">
        <v>23</v>
      </c>
      <c r="E68" s="3" t="s">
        <v>73</v>
      </c>
      <c r="F68" s="3" t="s">
        <v>95</v>
      </c>
      <c r="G68" s="3" t="s">
        <v>28</v>
      </c>
      <c r="H68" s="3" t="s">
        <v>29</v>
      </c>
      <c r="I68" s="4">
        <v>42743</v>
      </c>
      <c r="J68" s="3">
        <v>9</v>
      </c>
      <c r="K68" s="5">
        <v>74545.55</v>
      </c>
      <c r="L68" s="5">
        <v>7047.68</v>
      </c>
      <c r="M68" s="3" t="s">
        <v>32</v>
      </c>
      <c r="N68" s="3">
        <v>4</v>
      </c>
      <c r="O68" s="3">
        <v>3</v>
      </c>
      <c r="P68" s="3">
        <v>1</v>
      </c>
      <c r="Q68" s="3">
        <v>51</v>
      </c>
      <c r="R68" s="3" t="s">
        <v>30</v>
      </c>
      <c r="S68" s="3">
        <v>11</v>
      </c>
      <c r="T68" s="3" t="s">
        <v>52</v>
      </c>
      <c r="U68" s="3">
        <v>19</v>
      </c>
      <c r="V68" s="3" t="s">
        <v>32</v>
      </c>
      <c r="W68" s="4"/>
      <c r="X68" s="4" t="str">
        <f t="shared" si="1"/>
        <v>Active</v>
      </c>
      <c r="Y68" s="3" t="s">
        <v>53</v>
      </c>
    </row>
    <row r="69" spans="1:25">
      <c r="A69" s="2">
        <v>10068</v>
      </c>
      <c r="B69" s="3" t="s">
        <v>151</v>
      </c>
      <c r="C69" s="3" t="s">
        <v>41</v>
      </c>
      <c r="D69" s="3">
        <v>27</v>
      </c>
      <c r="E69" s="3" t="s">
        <v>26</v>
      </c>
      <c r="F69" s="3" t="s">
        <v>113</v>
      </c>
      <c r="G69" s="3" t="s">
        <v>37</v>
      </c>
      <c r="H69" s="3" t="s">
        <v>45</v>
      </c>
      <c r="I69" s="4">
        <v>40823</v>
      </c>
      <c r="J69" s="3">
        <v>15</v>
      </c>
      <c r="K69" s="5">
        <v>70724.84</v>
      </c>
      <c r="L69" s="5">
        <v>4267.2299999999996</v>
      </c>
      <c r="M69" s="3" t="s">
        <v>32</v>
      </c>
      <c r="N69" s="3">
        <v>3</v>
      </c>
      <c r="O69" s="3">
        <v>2</v>
      </c>
      <c r="P69" s="3">
        <v>1</v>
      </c>
      <c r="Q69" s="3">
        <v>65</v>
      </c>
      <c r="R69" s="3" t="s">
        <v>32</v>
      </c>
      <c r="S69" s="3">
        <v>17</v>
      </c>
      <c r="T69" s="3" t="s">
        <v>31</v>
      </c>
      <c r="U69" s="3">
        <v>6</v>
      </c>
      <c r="V69" s="3" t="s">
        <v>32</v>
      </c>
      <c r="W69" s="4"/>
      <c r="X69" s="4" t="str">
        <f t="shared" si="1"/>
        <v>Active</v>
      </c>
      <c r="Y69" s="3" t="s">
        <v>46</v>
      </c>
    </row>
    <row r="70" spans="1:25">
      <c r="A70" s="2">
        <v>10069</v>
      </c>
      <c r="B70" s="3" t="s">
        <v>152</v>
      </c>
      <c r="C70" s="3" t="s">
        <v>41</v>
      </c>
      <c r="D70" s="3">
        <v>27</v>
      </c>
      <c r="E70" s="3" t="s">
        <v>26</v>
      </c>
      <c r="F70" s="3" t="s">
        <v>83</v>
      </c>
      <c r="G70" s="3" t="s">
        <v>28</v>
      </c>
      <c r="H70" s="3" t="s">
        <v>45</v>
      </c>
      <c r="I70" s="4">
        <v>41431</v>
      </c>
      <c r="J70" s="3">
        <v>13</v>
      </c>
      <c r="K70" s="5">
        <v>94413.99</v>
      </c>
      <c r="L70" s="5">
        <v>9933.8799999999992</v>
      </c>
      <c r="M70" s="3" t="s">
        <v>30</v>
      </c>
      <c r="N70" s="3">
        <v>4</v>
      </c>
      <c r="O70" s="3">
        <v>4</v>
      </c>
      <c r="P70" s="3">
        <v>5</v>
      </c>
      <c r="Q70" s="3">
        <v>74</v>
      </c>
      <c r="R70" s="3" t="s">
        <v>32</v>
      </c>
      <c r="S70" s="3">
        <v>30</v>
      </c>
      <c r="T70" s="3" t="s">
        <v>31</v>
      </c>
      <c r="U70" s="3">
        <v>20</v>
      </c>
      <c r="V70" s="3" t="s">
        <v>32</v>
      </c>
      <c r="W70" s="4"/>
      <c r="X70" s="4" t="str">
        <f t="shared" si="1"/>
        <v>Active</v>
      </c>
      <c r="Y70" s="3" t="s">
        <v>81</v>
      </c>
    </row>
    <row r="71" spans="1:25">
      <c r="A71" s="2">
        <v>10070</v>
      </c>
      <c r="B71" s="3" t="s">
        <v>153</v>
      </c>
      <c r="C71" s="3" t="s">
        <v>41</v>
      </c>
      <c r="D71" s="3">
        <v>49</v>
      </c>
      <c r="E71" s="3" t="s">
        <v>42</v>
      </c>
      <c r="F71" s="3" t="s">
        <v>70</v>
      </c>
      <c r="G71" s="3" t="s">
        <v>28</v>
      </c>
      <c r="H71" s="3" t="s">
        <v>57</v>
      </c>
      <c r="I71" s="4">
        <v>42429</v>
      </c>
      <c r="J71" s="3">
        <v>10</v>
      </c>
      <c r="K71" s="5">
        <v>67528.09</v>
      </c>
      <c r="L71" s="5">
        <v>4440.1400000000003</v>
      </c>
      <c r="M71" s="3" t="s">
        <v>30</v>
      </c>
      <c r="N71" s="3">
        <v>4</v>
      </c>
      <c r="O71" s="3">
        <v>4</v>
      </c>
      <c r="P71" s="3">
        <v>1</v>
      </c>
      <c r="Q71" s="3">
        <v>7</v>
      </c>
      <c r="R71" s="3" t="s">
        <v>32</v>
      </c>
      <c r="S71" s="3">
        <v>10</v>
      </c>
      <c r="T71" s="3" t="s">
        <v>52</v>
      </c>
      <c r="U71" s="3">
        <v>20</v>
      </c>
      <c r="V71" s="3" t="s">
        <v>32</v>
      </c>
      <c r="W71" s="4"/>
      <c r="X71" s="4" t="str">
        <f t="shared" si="1"/>
        <v>Active</v>
      </c>
      <c r="Y71" s="3" t="s">
        <v>55</v>
      </c>
    </row>
    <row r="72" spans="1:25">
      <c r="A72" s="2">
        <v>10071</v>
      </c>
      <c r="B72" s="3" t="s">
        <v>154</v>
      </c>
      <c r="C72" s="3" t="s">
        <v>25</v>
      </c>
      <c r="D72" s="3">
        <v>53</v>
      </c>
      <c r="E72" s="3" t="s">
        <v>73</v>
      </c>
      <c r="F72" s="3" t="s">
        <v>99</v>
      </c>
      <c r="G72" s="3" t="s">
        <v>37</v>
      </c>
      <c r="H72" s="3" t="s">
        <v>45</v>
      </c>
      <c r="I72" s="4">
        <v>40515</v>
      </c>
      <c r="J72" s="3">
        <v>16</v>
      </c>
      <c r="K72" s="5">
        <v>66984.02</v>
      </c>
      <c r="L72" s="5">
        <v>8391.49</v>
      </c>
      <c r="M72" s="3" t="s">
        <v>32</v>
      </c>
      <c r="N72" s="3">
        <v>3</v>
      </c>
      <c r="O72" s="3">
        <v>5</v>
      </c>
      <c r="P72" s="3">
        <v>4</v>
      </c>
      <c r="Q72" s="3">
        <v>64</v>
      </c>
      <c r="R72" s="3" t="s">
        <v>30</v>
      </c>
      <c r="S72" s="3">
        <v>2</v>
      </c>
      <c r="T72" s="3" t="s">
        <v>38</v>
      </c>
      <c r="U72" s="3">
        <v>3</v>
      </c>
      <c r="V72" s="3" t="s">
        <v>32</v>
      </c>
      <c r="W72" s="4"/>
      <c r="X72" s="4" t="str">
        <f t="shared" si="1"/>
        <v>Active</v>
      </c>
      <c r="Y72" s="3" t="s">
        <v>55</v>
      </c>
    </row>
    <row r="73" spans="1:25">
      <c r="A73" s="2">
        <v>10072</v>
      </c>
      <c r="B73" s="3" t="s">
        <v>155</v>
      </c>
      <c r="C73" s="3" t="s">
        <v>41</v>
      </c>
      <c r="D73" s="3">
        <v>32</v>
      </c>
      <c r="E73" s="3" t="s">
        <v>42</v>
      </c>
      <c r="F73" s="3" t="s">
        <v>127</v>
      </c>
      <c r="G73" s="3" t="s">
        <v>37</v>
      </c>
      <c r="H73" s="3" t="s">
        <v>57</v>
      </c>
      <c r="I73" s="4">
        <v>44472</v>
      </c>
      <c r="J73" s="3">
        <v>5</v>
      </c>
      <c r="K73" s="5">
        <v>63751.14</v>
      </c>
      <c r="L73" s="5">
        <v>2590.66</v>
      </c>
      <c r="M73" s="3" t="s">
        <v>32</v>
      </c>
      <c r="N73" s="3">
        <v>3</v>
      </c>
      <c r="O73" s="3">
        <v>4</v>
      </c>
      <c r="P73" s="3">
        <v>4</v>
      </c>
      <c r="Q73" s="3">
        <v>43</v>
      </c>
      <c r="R73" s="3" t="s">
        <v>32</v>
      </c>
      <c r="S73" s="3">
        <v>2</v>
      </c>
      <c r="T73" s="3" t="s">
        <v>31</v>
      </c>
      <c r="U73" s="3">
        <v>20</v>
      </c>
      <c r="V73" s="3" t="s">
        <v>32</v>
      </c>
      <c r="W73" s="4"/>
      <c r="X73" s="4" t="str">
        <f t="shared" si="1"/>
        <v>Active</v>
      </c>
      <c r="Y73" s="3" t="s">
        <v>46</v>
      </c>
    </row>
    <row r="74" spans="1:25">
      <c r="A74" s="2">
        <v>10073</v>
      </c>
      <c r="B74" s="3" t="s">
        <v>156</v>
      </c>
      <c r="C74" s="3" t="s">
        <v>25</v>
      </c>
      <c r="D74" s="3">
        <v>45</v>
      </c>
      <c r="E74" s="3" t="s">
        <v>102</v>
      </c>
      <c r="F74" s="3" t="s">
        <v>116</v>
      </c>
      <c r="G74" s="3" t="s">
        <v>37</v>
      </c>
      <c r="H74" s="3" t="s">
        <v>45</v>
      </c>
      <c r="I74" s="4">
        <v>45116</v>
      </c>
      <c r="J74" s="3">
        <v>3</v>
      </c>
      <c r="K74" s="5">
        <v>74297.58</v>
      </c>
      <c r="L74" s="5">
        <v>4705.79</v>
      </c>
      <c r="M74" s="3" t="s">
        <v>32</v>
      </c>
      <c r="N74" s="3">
        <v>2</v>
      </c>
      <c r="O74" s="3">
        <v>3</v>
      </c>
      <c r="P74" s="3">
        <v>3</v>
      </c>
      <c r="Q74" s="3">
        <v>50</v>
      </c>
      <c r="R74" s="3" t="s">
        <v>30</v>
      </c>
      <c r="S74" s="3">
        <v>23</v>
      </c>
      <c r="T74" s="3" t="s">
        <v>52</v>
      </c>
      <c r="U74" s="3">
        <v>9</v>
      </c>
      <c r="V74" s="3" t="s">
        <v>32</v>
      </c>
      <c r="W74" s="4"/>
      <c r="X74" s="4" t="str">
        <f t="shared" si="1"/>
        <v>Active</v>
      </c>
      <c r="Y74" s="3" t="s">
        <v>132</v>
      </c>
    </row>
    <row r="75" spans="1:25">
      <c r="A75" s="2">
        <v>10074</v>
      </c>
      <c r="B75" s="3" t="s">
        <v>157</v>
      </c>
      <c r="C75" s="3" t="s">
        <v>41</v>
      </c>
      <c r="D75" s="3">
        <v>54</v>
      </c>
      <c r="E75" s="3" t="s">
        <v>42</v>
      </c>
      <c r="F75" s="3" t="s">
        <v>70</v>
      </c>
      <c r="G75" s="3" t="s">
        <v>37</v>
      </c>
      <c r="H75" s="3" t="s">
        <v>29</v>
      </c>
      <c r="I75" s="4">
        <v>43149</v>
      </c>
      <c r="J75" s="3">
        <v>8</v>
      </c>
      <c r="K75" s="5">
        <v>51987.63</v>
      </c>
      <c r="L75" s="5">
        <v>7468.13</v>
      </c>
      <c r="M75" s="3" t="s">
        <v>32</v>
      </c>
      <c r="N75" s="3">
        <v>4</v>
      </c>
      <c r="O75" s="3">
        <v>2</v>
      </c>
      <c r="P75" s="3">
        <v>2</v>
      </c>
      <c r="Q75" s="3">
        <v>17</v>
      </c>
      <c r="R75" s="3" t="s">
        <v>30</v>
      </c>
      <c r="S75" s="3">
        <v>10</v>
      </c>
      <c r="T75" s="3" t="s">
        <v>52</v>
      </c>
      <c r="U75" s="3">
        <v>16</v>
      </c>
      <c r="V75" s="3" t="s">
        <v>32</v>
      </c>
      <c r="W75" s="4"/>
      <c r="X75" s="4" t="str">
        <f t="shared" si="1"/>
        <v>Active</v>
      </c>
      <c r="Y75" s="3" t="s">
        <v>55</v>
      </c>
    </row>
    <row r="76" spans="1:25">
      <c r="A76" s="2">
        <v>10075</v>
      </c>
      <c r="B76" s="3" t="s">
        <v>158</v>
      </c>
      <c r="C76" s="3" t="s">
        <v>25</v>
      </c>
      <c r="D76" s="3">
        <v>60</v>
      </c>
      <c r="E76" s="3" t="s">
        <v>26</v>
      </c>
      <c r="F76" s="3" t="s">
        <v>113</v>
      </c>
      <c r="G76" s="3" t="s">
        <v>28</v>
      </c>
      <c r="H76" s="3" t="s">
        <v>29</v>
      </c>
      <c r="I76" s="4">
        <v>45296</v>
      </c>
      <c r="J76" s="3">
        <v>2</v>
      </c>
      <c r="K76" s="5">
        <v>97587.839999999997</v>
      </c>
      <c r="L76" s="5">
        <v>4051.86</v>
      </c>
      <c r="M76" s="3" t="s">
        <v>32</v>
      </c>
      <c r="N76" s="3">
        <v>4</v>
      </c>
      <c r="O76" s="3">
        <v>3</v>
      </c>
      <c r="P76" s="3">
        <v>2</v>
      </c>
      <c r="Q76" s="3">
        <v>56</v>
      </c>
      <c r="R76" s="3" t="s">
        <v>32</v>
      </c>
      <c r="S76" s="3">
        <v>25</v>
      </c>
      <c r="T76" s="3" t="s">
        <v>31</v>
      </c>
      <c r="U76" s="3">
        <v>14</v>
      </c>
      <c r="V76" s="3" t="s">
        <v>32</v>
      </c>
      <c r="W76" s="4"/>
      <c r="X76" s="4" t="str">
        <f t="shared" si="1"/>
        <v>Active</v>
      </c>
      <c r="Y76" s="3" t="s">
        <v>68</v>
      </c>
    </row>
    <row r="77" spans="1:25">
      <c r="A77" s="2">
        <v>10076</v>
      </c>
      <c r="B77" s="3" t="s">
        <v>159</v>
      </c>
      <c r="C77" s="3" t="s">
        <v>41</v>
      </c>
      <c r="D77" s="3">
        <v>33</v>
      </c>
      <c r="E77" s="3" t="s">
        <v>102</v>
      </c>
      <c r="F77" s="3" t="s">
        <v>103</v>
      </c>
      <c r="G77" s="3" t="s">
        <v>28</v>
      </c>
      <c r="H77" s="3" t="s">
        <v>57</v>
      </c>
      <c r="I77" s="4">
        <v>43307</v>
      </c>
      <c r="J77" s="3">
        <v>8</v>
      </c>
      <c r="K77" s="5">
        <v>57630.8</v>
      </c>
      <c r="L77" s="5">
        <v>4289.22</v>
      </c>
      <c r="M77" s="3" t="s">
        <v>30</v>
      </c>
      <c r="N77" s="3">
        <v>2</v>
      </c>
      <c r="O77" s="3">
        <v>5</v>
      </c>
      <c r="P77" s="3">
        <v>2</v>
      </c>
      <c r="Q77" s="3">
        <v>32</v>
      </c>
      <c r="R77" s="3" t="s">
        <v>30</v>
      </c>
      <c r="S77" s="3">
        <v>16</v>
      </c>
      <c r="T77" s="3" t="s">
        <v>38</v>
      </c>
      <c r="U77" s="3">
        <v>17</v>
      </c>
      <c r="V77" s="3" t="s">
        <v>32</v>
      </c>
      <c r="W77" s="4"/>
      <c r="X77" s="4" t="str">
        <f t="shared" si="1"/>
        <v>Active</v>
      </c>
      <c r="Y77" s="3" t="s">
        <v>53</v>
      </c>
    </row>
    <row r="78" spans="1:25">
      <c r="A78" s="2">
        <v>10077</v>
      </c>
      <c r="B78" s="3" t="s">
        <v>160</v>
      </c>
      <c r="C78" s="3" t="s">
        <v>25</v>
      </c>
      <c r="D78" s="3">
        <v>31</v>
      </c>
      <c r="E78" s="3" t="s">
        <v>102</v>
      </c>
      <c r="F78" s="3" t="s">
        <v>103</v>
      </c>
      <c r="G78" s="3" t="s">
        <v>78</v>
      </c>
      <c r="H78" s="3" t="s">
        <v>29</v>
      </c>
      <c r="I78" s="4">
        <v>43762</v>
      </c>
      <c r="J78" s="3">
        <v>7</v>
      </c>
      <c r="K78" s="5">
        <v>39127.11</v>
      </c>
      <c r="L78" s="5">
        <v>5413.85</v>
      </c>
      <c r="M78" s="3" t="s">
        <v>32</v>
      </c>
      <c r="N78" s="3">
        <v>3</v>
      </c>
      <c r="O78" s="3">
        <v>1</v>
      </c>
      <c r="P78" s="3">
        <v>4</v>
      </c>
      <c r="Q78" s="3">
        <v>6</v>
      </c>
      <c r="R78" s="3" t="s">
        <v>32</v>
      </c>
      <c r="S78" s="3">
        <v>12</v>
      </c>
      <c r="T78" s="3" t="s">
        <v>52</v>
      </c>
      <c r="U78" s="3">
        <v>12</v>
      </c>
      <c r="V78" s="3" t="s">
        <v>32</v>
      </c>
      <c r="W78" s="4"/>
      <c r="X78" s="4" t="str">
        <f t="shared" si="1"/>
        <v>Active</v>
      </c>
      <c r="Y78" s="3" t="s">
        <v>46</v>
      </c>
    </row>
    <row r="79" spans="1:25">
      <c r="A79" s="2">
        <v>10078</v>
      </c>
      <c r="B79" s="3" t="s">
        <v>161</v>
      </c>
      <c r="C79" s="3" t="s">
        <v>25</v>
      </c>
      <c r="D79" s="3">
        <v>27</v>
      </c>
      <c r="E79" s="3" t="s">
        <v>35</v>
      </c>
      <c r="F79" s="3" t="s">
        <v>51</v>
      </c>
      <c r="G79" s="3" t="s">
        <v>37</v>
      </c>
      <c r="H79" s="3" t="s">
        <v>29</v>
      </c>
      <c r="I79" s="4">
        <v>40492</v>
      </c>
      <c r="J79" s="3">
        <v>16</v>
      </c>
      <c r="K79" s="5">
        <v>49343.97</v>
      </c>
      <c r="L79" s="5">
        <v>6309.56</v>
      </c>
      <c r="M79" s="3" t="s">
        <v>32</v>
      </c>
      <c r="N79" s="3">
        <v>2</v>
      </c>
      <c r="O79" s="3">
        <v>4</v>
      </c>
      <c r="P79" s="3">
        <v>4</v>
      </c>
      <c r="Q79" s="3">
        <v>78</v>
      </c>
      <c r="R79" s="3" t="s">
        <v>30</v>
      </c>
      <c r="S79" s="3">
        <v>3</v>
      </c>
      <c r="T79" s="3" t="s">
        <v>52</v>
      </c>
      <c r="U79" s="3">
        <v>8</v>
      </c>
      <c r="V79" s="3" t="s">
        <v>32</v>
      </c>
      <c r="W79" s="4"/>
      <c r="X79" s="4" t="str">
        <f t="shared" si="1"/>
        <v>Active</v>
      </c>
      <c r="Y79" s="3" t="s">
        <v>87</v>
      </c>
    </row>
    <row r="80" spans="1:25">
      <c r="A80" s="2">
        <v>10079</v>
      </c>
      <c r="B80" s="3" t="s">
        <v>162</v>
      </c>
      <c r="C80" s="3" t="s">
        <v>41</v>
      </c>
      <c r="D80" s="3">
        <v>39</v>
      </c>
      <c r="E80" s="3" t="s">
        <v>26</v>
      </c>
      <c r="F80" s="3" t="s">
        <v>83</v>
      </c>
      <c r="G80" s="3" t="s">
        <v>28</v>
      </c>
      <c r="H80" s="3" t="s">
        <v>29</v>
      </c>
      <c r="I80" s="4">
        <v>43618</v>
      </c>
      <c r="J80" s="3">
        <v>7</v>
      </c>
      <c r="K80" s="5">
        <v>86531.86</v>
      </c>
      <c r="L80" s="5">
        <v>8736.7199999999993</v>
      </c>
      <c r="M80" s="3" t="s">
        <v>30</v>
      </c>
      <c r="N80" s="3">
        <v>4</v>
      </c>
      <c r="O80" s="3">
        <v>5</v>
      </c>
      <c r="P80" s="3">
        <v>5</v>
      </c>
      <c r="Q80" s="3">
        <v>2</v>
      </c>
      <c r="R80" s="3" t="s">
        <v>32</v>
      </c>
      <c r="S80" s="3">
        <v>19</v>
      </c>
      <c r="T80" s="3" t="s">
        <v>52</v>
      </c>
      <c r="U80" s="3">
        <v>4</v>
      </c>
      <c r="V80" s="3" t="s">
        <v>32</v>
      </c>
      <c r="W80" s="4"/>
      <c r="X80" s="4" t="str">
        <f t="shared" si="1"/>
        <v>Active</v>
      </c>
      <c r="Y80" s="3" t="s">
        <v>39</v>
      </c>
    </row>
    <row r="81" spans="1:25">
      <c r="A81" s="2">
        <v>10080</v>
      </c>
      <c r="B81" s="3" t="s">
        <v>163</v>
      </c>
      <c r="C81" s="3" t="s">
        <v>41</v>
      </c>
      <c r="D81" s="3">
        <v>47</v>
      </c>
      <c r="E81" s="3" t="s">
        <v>26</v>
      </c>
      <c r="F81" s="3" t="s">
        <v>105</v>
      </c>
      <c r="G81" s="3" t="s">
        <v>37</v>
      </c>
      <c r="H81" s="3" t="s">
        <v>57</v>
      </c>
      <c r="I81" s="4">
        <v>40733</v>
      </c>
      <c r="J81" s="3">
        <v>15</v>
      </c>
      <c r="K81" s="5">
        <v>106971.24</v>
      </c>
      <c r="L81" s="5">
        <v>9705.57</v>
      </c>
      <c r="M81" s="3" t="s">
        <v>32</v>
      </c>
      <c r="N81" s="3">
        <v>5</v>
      </c>
      <c r="O81" s="3">
        <v>5</v>
      </c>
      <c r="P81" s="3">
        <v>1</v>
      </c>
      <c r="Q81" s="3">
        <v>49</v>
      </c>
      <c r="R81" s="3" t="s">
        <v>32</v>
      </c>
      <c r="S81" s="3">
        <v>2</v>
      </c>
      <c r="T81" s="3" t="s">
        <v>31</v>
      </c>
      <c r="U81" s="3">
        <v>12</v>
      </c>
      <c r="V81" s="3" t="s">
        <v>32</v>
      </c>
      <c r="W81" s="4"/>
      <c r="X81" s="4" t="str">
        <f t="shared" si="1"/>
        <v>Active</v>
      </c>
      <c r="Y81" s="3" t="s">
        <v>84</v>
      </c>
    </row>
    <row r="82" spans="1:25">
      <c r="A82" s="2">
        <v>10081</v>
      </c>
      <c r="B82" s="3" t="s">
        <v>164</v>
      </c>
      <c r="C82" s="3" t="s">
        <v>25</v>
      </c>
      <c r="D82" s="3">
        <v>25</v>
      </c>
      <c r="E82" s="3" t="s">
        <v>102</v>
      </c>
      <c r="F82" s="3" t="s">
        <v>165</v>
      </c>
      <c r="G82" s="3" t="s">
        <v>37</v>
      </c>
      <c r="H82" s="3" t="s">
        <v>45</v>
      </c>
      <c r="I82" s="4">
        <v>41028</v>
      </c>
      <c r="J82" s="3">
        <v>14</v>
      </c>
      <c r="K82" s="5">
        <v>69717.56</v>
      </c>
      <c r="L82" s="5">
        <v>8057.56</v>
      </c>
      <c r="M82" s="3" t="s">
        <v>32</v>
      </c>
      <c r="N82" s="3">
        <v>1</v>
      </c>
      <c r="O82" s="3">
        <v>3</v>
      </c>
      <c r="P82" s="3">
        <v>5</v>
      </c>
      <c r="Q82" s="3">
        <v>43</v>
      </c>
      <c r="R82" s="3" t="s">
        <v>32</v>
      </c>
      <c r="S82" s="3">
        <v>6</v>
      </c>
      <c r="T82" s="3" t="s">
        <v>31</v>
      </c>
      <c r="U82" s="3">
        <v>14</v>
      </c>
      <c r="V82" s="3" t="s">
        <v>32</v>
      </c>
      <c r="W82" s="4"/>
      <c r="X82" s="4" t="str">
        <f t="shared" si="1"/>
        <v>Active</v>
      </c>
      <c r="Y82" s="3" t="s">
        <v>71</v>
      </c>
    </row>
    <row r="83" spans="1:25">
      <c r="A83" s="2">
        <v>10082</v>
      </c>
      <c r="B83" s="3" t="s">
        <v>166</v>
      </c>
      <c r="C83" s="3" t="s">
        <v>25</v>
      </c>
      <c r="D83" s="3">
        <v>50</v>
      </c>
      <c r="E83" s="3" t="s">
        <v>42</v>
      </c>
      <c r="F83" s="3" t="s">
        <v>43</v>
      </c>
      <c r="G83" s="3" t="s">
        <v>28</v>
      </c>
      <c r="H83" s="3" t="s">
        <v>29</v>
      </c>
      <c r="I83" s="4">
        <v>40522</v>
      </c>
      <c r="J83" s="3">
        <v>16</v>
      </c>
      <c r="K83" s="5">
        <v>52357.77</v>
      </c>
      <c r="L83" s="5">
        <v>3157.69</v>
      </c>
      <c r="M83" s="3" t="s">
        <v>32</v>
      </c>
      <c r="N83" s="3">
        <v>5</v>
      </c>
      <c r="O83" s="3">
        <v>4</v>
      </c>
      <c r="P83" s="3">
        <v>3</v>
      </c>
      <c r="Q83" s="3">
        <v>4</v>
      </c>
      <c r="R83" s="3" t="s">
        <v>32</v>
      </c>
      <c r="S83" s="3">
        <v>7</v>
      </c>
      <c r="T83" s="3" t="s">
        <v>38</v>
      </c>
      <c r="U83" s="3">
        <v>11</v>
      </c>
      <c r="V83" s="3" t="s">
        <v>32</v>
      </c>
      <c r="W83" s="4"/>
      <c r="X83" s="4" t="str">
        <f t="shared" si="1"/>
        <v>Active</v>
      </c>
      <c r="Y83" s="3" t="s">
        <v>39</v>
      </c>
    </row>
    <row r="84" spans="1:25">
      <c r="A84" s="2">
        <v>10083</v>
      </c>
      <c r="B84" s="3" t="s">
        <v>167</v>
      </c>
      <c r="C84" s="3" t="s">
        <v>41</v>
      </c>
      <c r="D84" s="3">
        <v>44</v>
      </c>
      <c r="E84" s="3" t="s">
        <v>73</v>
      </c>
      <c r="F84" s="3" t="s">
        <v>99</v>
      </c>
      <c r="G84" s="3" t="s">
        <v>37</v>
      </c>
      <c r="H84" s="3" t="s">
        <v>57</v>
      </c>
      <c r="I84" s="4">
        <v>42956</v>
      </c>
      <c r="J84" s="3">
        <v>9</v>
      </c>
      <c r="K84" s="5">
        <v>98423.42</v>
      </c>
      <c r="L84" s="5">
        <v>8317.41</v>
      </c>
      <c r="M84" s="3" t="s">
        <v>32</v>
      </c>
      <c r="N84" s="3">
        <v>5</v>
      </c>
      <c r="O84" s="3">
        <v>3</v>
      </c>
      <c r="P84" s="3">
        <v>1</v>
      </c>
      <c r="Q84" s="3">
        <v>54</v>
      </c>
      <c r="R84" s="3" t="s">
        <v>30</v>
      </c>
      <c r="S84" s="3">
        <v>20</v>
      </c>
      <c r="T84" s="3" t="s">
        <v>52</v>
      </c>
      <c r="U84" s="3">
        <v>17</v>
      </c>
      <c r="V84" s="3" t="s">
        <v>32</v>
      </c>
      <c r="W84" s="4"/>
      <c r="X84" s="4" t="str">
        <f t="shared" si="1"/>
        <v>Active</v>
      </c>
      <c r="Y84" s="3" t="s">
        <v>65</v>
      </c>
    </row>
    <row r="85" spans="1:25">
      <c r="A85" s="2">
        <v>10084</v>
      </c>
      <c r="B85" s="3" t="s">
        <v>168</v>
      </c>
      <c r="C85" s="3" t="s">
        <v>25</v>
      </c>
      <c r="D85" s="3">
        <v>39</v>
      </c>
      <c r="E85" s="3" t="s">
        <v>102</v>
      </c>
      <c r="F85" s="3" t="s">
        <v>103</v>
      </c>
      <c r="G85" s="3" t="s">
        <v>37</v>
      </c>
      <c r="H85" s="3" t="s">
        <v>57</v>
      </c>
      <c r="I85" s="4">
        <v>41544</v>
      </c>
      <c r="J85" s="3">
        <v>13</v>
      </c>
      <c r="K85" s="5">
        <v>66039.42</v>
      </c>
      <c r="L85" s="5">
        <v>4338.8599999999997</v>
      </c>
      <c r="M85" s="3" t="s">
        <v>30</v>
      </c>
      <c r="N85" s="3">
        <v>3</v>
      </c>
      <c r="O85" s="3">
        <v>5</v>
      </c>
      <c r="P85" s="3">
        <v>4</v>
      </c>
      <c r="Q85" s="3">
        <v>35</v>
      </c>
      <c r="R85" s="3" t="s">
        <v>32</v>
      </c>
      <c r="S85" s="3">
        <v>26</v>
      </c>
      <c r="T85" s="3" t="s">
        <v>52</v>
      </c>
      <c r="U85" s="3">
        <v>2</v>
      </c>
      <c r="V85" s="3" t="s">
        <v>32</v>
      </c>
      <c r="W85" s="4"/>
      <c r="X85" s="4" t="str">
        <f t="shared" si="1"/>
        <v>Active</v>
      </c>
      <c r="Y85" s="3" t="s">
        <v>33</v>
      </c>
    </row>
    <row r="86" spans="1:25">
      <c r="A86" s="2">
        <v>10085</v>
      </c>
      <c r="B86" s="3" t="s">
        <v>169</v>
      </c>
      <c r="C86" s="3" t="s">
        <v>41</v>
      </c>
      <c r="D86" s="3">
        <v>31</v>
      </c>
      <c r="E86" s="3" t="s">
        <v>42</v>
      </c>
      <c r="F86" s="3" t="s">
        <v>127</v>
      </c>
      <c r="G86" s="3" t="s">
        <v>44</v>
      </c>
      <c r="H86" s="3" t="s">
        <v>45</v>
      </c>
      <c r="I86" s="4">
        <v>43768</v>
      </c>
      <c r="J86" s="3">
        <v>7</v>
      </c>
      <c r="K86" s="5">
        <v>36913.94</v>
      </c>
      <c r="L86" s="5">
        <v>1060.92</v>
      </c>
      <c r="M86" s="3" t="s">
        <v>32</v>
      </c>
      <c r="N86" s="3">
        <v>3</v>
      </c>
      <c r="O86" s="3">
        <v>3</v>
      </c>
      <c r="P86" s="3">
        <v>4</v>
      </c>
      <c r="Q86" s="3">
        <v>72</v>
      </c>
      <c r="R86" s="3" t="s">
        <v>30</v>
      </c>
      <c r="S86" s="3">
        <v>5</v>
      </c>
      <c r="T86" s="3" t="s">
        <v>31</v>
      </c>
      <c r="U86" s="3">
        <v>14</v>
      </c>
      <c r="V86" s="3" t="s">
        <v>32</v>
      </c>
      <c r="W86" s="4"/>
      <c r="X86" s="4" t="str">
        <f t="shared" si="1"/>
        <v>Active</v>
      </c>
      <c r="Y86" s="3" t="s">
        <v>46</v>
      </c>
    </row>
    <row r="87" spans="1:25">
      <c r="A87" s="2">
        <v>10086</v>
      </c>
      <c r="B87" s="3" t="s">
        <v>170</v>
      </c>
      <c r="C87" s="3" t="s">
        <v>41</v>
      </c>
      <c r="D87" s="3">
        <v>29</v>
      </c>
      <c r="E87" s="3" t="s">
        <v>60</v>
      </c>
      <c r="F87" s="3" t="s">
        <v>122</v>
      </c>
      <c r="G87" s="3" t="s">
        <v>28</v>
      </c>
      <c r="H87" s="3" t="s">
        <v>45</v>
      </c>
      <c r="I87" s="4">
        <v>42462</v>
      </c>
      <c r="J87" s="3">
        <v>10</v>
      </c>
      <c r="K87" s="5">
        <v>63720.87</v>
      </c>
      <c r="L87" s="5">
        <v>2214.19</v>
      </c>
      <c r="M87" s="3" t="s">
        <v>32</v>
      </c>
      <c r="N87" s="3">
        <v>4</v>
      </c>
      <c r="O87" s="3">
        <v>5</v>
      </c>
      <c r="P87" s="3">
        <v>4</v>
      </c>
      <c r="Q87" s="3">
        <v>71</v>
      </c>
      <c r="R87" s="3" t="s">
        <v>30</v>
      </c>
      <c r="S87" s="3">
        <v>25</v>
      </c>
      <c r="T87" s="3" t="s">
        <v>38</v>
      </c>
      <c r="U87" s="3">
        <v>14</v>
      </c>
      <c r="V87" s="3" t="s">
        <v>32</v>
      </c>
      <c r="W87" s="4"/>
      <c r="X87" s="4" t="str">
        <f t="shared" si="1"/>
        <v>Active</v>
      </c>
      <c r="Y87" s="3" t="s">
        <v>81</v>
      </c>
    </row>
    <row r="88" spans="1:25">
      <c r="A88" s="2">
        <v>10087</v>
      </c>
      <c r="B88" s="3" t="s">
        <v>171</v>
      </c>
      <c r="C88" s="3" t="s">
        <v>41</v>
      </c>
      <c r="D88" s="3">
        <v>28</v>
      </c>
      <c r="E88" s="3" t="s">
        <v>26</v>
      </c>
      <c r="F88" s="3" t="s">
        <v>105</v>
      </c>
      <c r="G88" s="3" t="s">
        <v>28</v>
      </c>
      <c r="H88" s="3" t="s">
        <v>45</v>
      </c>
      <c r="I88" s="4">
        <v>43825</v>
      </c>
      <c r="J88" s="3">
        <v>7</v>
      </c>
      <c r="K88" s="5">
        <v>109822.06</v>
      </c>
      <c r="L88" s="5">
        <v>13768.03</v>
      </c>
      <c r="M88" s="3" t="s">
        <v>32</v>
      </c>
      <c r="N88" s="3">
        <v>3</v>
      </c>
      <c r="O88" s="3">
        <v>3</v>
      </c>
      <c r="P88" s="3">
        <v>1</v>
      </c>
      <c r="Q88" s="3">
        <v>70</v>
      </c>
      <c r="R88" s="3" t="s">
        <v>32</v>
      </c>
      <c r="S88" s="3">
        <v>29</v>
      </c>
      <c r="T88" s="3" t="s">
        <v>38</v>
      </c>
      <c r="U88" s="3">
        <v>5</v>
      </c>
      <c r="V88" s="3" t="s">
        <v>32</v>
      </c>
      <c r="W88" s="4"/>
      <c r="X88" s="4" t="str">
        <f t="shared" si="1"/>
        <v>Active</v>
      </c>
      <c r="Y88" s="3" t="s">
        <v>75</v>
      </c>
    </row>
    <row r="89" spans="1:25">
      <c r="A89" s="2">
        <v>10088</v>
      </c>
      <c r="B89" s="3" t="s">
        <v>172</v>
      </c>
      <c r="C89" s="3" t="s">
        <v>25</v>
      </c>
      <c r="D89" s="3">
        <v>35</v>
      </c>
      <c r="E89" s="3" t="s">
        <v>42</v>
      </c>
      <c r="F89" s="3" t="s">
        <v>127</v>
      </c>
      <c r="G89" s="3" t="s">
        <v>37</v>
      </c>
      <c r="H89" s="3" t="s">
        <v>29</v>
      </c>
      <c r="I89" s="4">
        <v>44226</v>
      </c>
      <c r="J89" s="3">
        <v>5</v>
      </c>
      <c r="K89" s="5">
        <v>36445.620000000003</v>
      </c>
      <c r="L89" s="5">
        <v>3353.83</v>
      </c>
      <c r="M89" s="3" t="s">
        <v>32</v>
      </c>
      <c r="N89" s="3">
        <v>5</v>
      </c>
      <c r="O89" s="3">
        <v>2</v>
      </c>
      <c r="P89" s="3">
        <v>5</v>
      </c>
      <c r="Q89" s="3">
        <v>11</v>
      </c>
      <c r="R89" s="3" t="s">
        <v>30</v>
      </c>
      <c r="S89" s="3">
        <v>13</v>
      </c>
      <c r="T89" s="3" t="s">
        <v>31</v>
      </c>
      <c r="U89" s="3">
        <v>15</v>
      </c>
      <c r="V89" s="3" t="s">
        <v>32</v>
      </c>
      <c r="W89" s="4"/>
      <c r="X89" s="4" t="str">
        <f t="shared" si="1"/>
        <v>Active</v>
      </c>
      <c r="Y89" s="3" t="s">
        <v>62</v>
      </c>
    </row>
    <row r="90" spans="1:25">
      <c r="A90" s="2">
        <v>10089</v>
      </c>
      <c r="B90" s="3" t="s">
        <v>173</v>
      </c>
      <c r="C90" s="3" t="s">
        <v>41</v>
      </c>
      <c r="D90" s="3">
        <v>29</v>
      </c>
      <c r="E90" s="3" t="s">
        <v>102</v>
      </c>
      <c r="F90" s="3" t="s">
        <v>107</v>
      </c>
      <c r="G90" s="3" t="s">
        <v>28</v>
      </c>
      <c r="H90" s="3" t="s">
        <v>45</v>
      </c>
      <c r="I90" s="4">
        <v>44417</v>
      </c>
      <c r="J90" s="3">
        <v>5</v>
      </c>
      <c r="K90" s="5">
        <v>50503.17</v>
      </c>
      <c r="L90" s="5">
        <v>6774.23</v>
      </c>
      <c r="M90" s="3" t="s">
        <v>32</v>
      </c>
      <c r="N90" s="3">
        <v>5</v>
      </c>
      <c r="O90" s="3">
        <v>2</v>
      </c>
      <c r="P90" s="3">
        <v>2</v>
      </c>
      <c r="Q90" s="3">
        <v>55</v>
      </c>
      <c r="R90" s="3" t="s">
        <v>32</v>
      </c>
      <c r="S90" s="3">
        <v>28</v>
      </c>
      <c r="T90" s="3" t="s">
        <v>52</v>
      </c>
      <c r="U90" s="3">
        <v>3</v>
      </c>
      <c r="V90" s="3" t="s">
        <v>32</v>
      </c>
      <c r="W90" s="4"/>
      <c r="X90" s="4" t="str">
        <f t="shared" si="1"/>
        <v>Active</v>
      </c>
      <c r="Y90" s="3" t="s">
        <v>84</v>
      </c>
    </row>
    <row r="91" spans="1:25">
      <c r="A91" s="2">
        <v>10090</v>
      </c>
      <c r="B91" s="3" t="s">
        <v>174</v>
      </c>
      <c r="C91" s="3" t="s">
        <v>25</v>
      </c>
      <c r="D91" s="3">
        <v>35</v>
      </c>
      <c r="E91" s="3" t="s">
        <v>102</v>
      </c>
      <c r="F91" s="3" t="s">
        <v>116</v>
      </c>
      <c r="G91" s="3" t="s">
        <v>44</v>
      </c>
      <c r="H91" s="3" t="s">
        <v>57</v>
      </c>
      <c r="I91" s="4">
        <v>41787</v>
      </c>
      <c r="J91" s="3">
        <v>12</v>
      </c>
      <c r="K91" s="5">
        <v>63577.57</v>
      </c>
      <c r="L91" s="5">
        <v>5824.3</v>
      </c>
      <c r="M91" s="3" t="s">
        <v>30</v>
      </c>
      <c r="N91" s="3">
        <v>3</v>
      </c>
      <c r="O91" s="3">
        <v>5</v>
      </c>
      <c r="P91" s="3">
        <v>5</v>
      </c>
      <c r="Q91" s="3">
        <v>11</v>
      </c>
      <c r="R91" s="3" t="s">
        <v>32</v>
      </c>
      <c r="S91" s="3">
        <v>6</v>
      </c>
      <c r="T91" s="3" t="s">
        <v>31</v>
      </c>
      <c r="U91" s="3">
        <v>18</v>
      </c>
      <c r="V91" s="3" t="s">
        <v>30</v>
      </c>
      <c r="W91" s="4">
        <v>45911</v>
      </c>
      <c r="X91" s="4" t="str">
        <f t="shared" si="1"/>
        <v>Exited</v>
      </c>
      <c r="Y91" s="3" t="s">
        <v>81</v>
      </c>
    </row>
    <row r="92" spans="1:25">
      <c r="A92" s="2">
        <v>10091</v>
      </c>
      <c r="B92" s="3" t="s">
        <v>175</v>
      </c>
      <c r="C92" s="3" t="s">
        <v>41</v>
      </c>
      <c r="D92" s="3">
        <v>22</v>
      </c>
      <c r="E92" s="3" t="s">
        <v>42</v>
      </c>
      <c r="F92" s="3" t="s">
        <v>176</v>
      </c>
      <c r="G92" s="3" t="s">
        <v>78</v>
      </c>
      <c r="H92" s="3" t="s">
        <v>45</v>
      </c>
      <c r="I92" s="4">
        <v>42347</v>
      </c>
      <c r="J92" s="3">
        <v>11</v>
      </c>
      <c r="K92" s="5">
        <v>70812.149999999994</v>
      </c>
      <c r="L92" s="5">
        <v>8476.5499999999993</v>
      </c>
      <c r="M92" s="3" t="s">
        <v>32</v>
      </c>
      <c r="N92" s="3">
        <v>1</v>
      </c>
      <c r="O92" s="3">
        <v>4</v>
      </c>
      <c r="P92" s="3">
        <v>5</v>
      </c>
      <c r="Q92" s="3">
        <v>37</v>
      </c>
      <c r="R92" s="3" t="s">
        <v>32</v>
      </c>
      <c r="S92" s="3">
        <v>10</v>
      </c>
      <c r="T92" s="3" t="s">
        <v>38</v>
      </c>
      <c r="U92" s="3">
        <v>7</v>
      </c>
      <c r="V92" s="3" t="s">
        <v>32</v>
      </c>
      <c r="W92" s="4"/>
      <c r="X92" s="4" t="str">
        <f t="shared" si="1"/>
        <v>Active</v>
      </c>
      <c r="Y92" s="3" t="s">
        <v>132</v>
      </c>
    </row>
    <row r="93" spans="1:25">
      <c r="A93" s="2">
        <v>10092</v>
      </c>
      <c r="B93" s="3" t="s">
        <v>177</v>
      </c>
      <c r="C93" s="3" t="s">
        <v>41</v>
      </c>
      <c r="D93" s="3">
        <v>25</v>
      </c>
      <c r="E93" s="3" t="s">
        <v>48</v>
      </c>
      <c r="F93" s="3" t="s">
        <v>125</v>
      </c>
      <c r="G93" s="3" t="s">
        <v>28</v>
      </c>
      <c r="H93" s="3" t="s">
        <v>57</v>
      </c>
      <c r="I93" s="4">
        <v>44145</v>
      </c>
      <c r="J93" s="3">
        <v>6</v>
      </c>
      <c r="K93" s="5">
        <v>60544.32</v>
      </c>
      <c r="L93" s="5">
        <v>3888.46</v>
      </c>
      <c r="M93" s="3" t="s">
        <v>30</v>
      </c>
      <c r="N93" s="3">
        <v>3</v>
      </c>
      <c r="O93" s="3">
        <v>3</v>
      </c>
      <c r="P93" s="3">
        <v>4</v>
      </c>
      <c r="Q93" s="3">
        <v>16</v>
      </c>
      <c r="R93" s="3" t="s">
        <v>32</v>
      </c>
      <c r="S93" s="3">
        <v>17</v>
      </c>
      <c r="T93" s="3" t="s">
        <v>31</v>
      </c>
      <c r="U93" s="3">
        <v>3</v>
      </c>
      <c r="V93" s="3" t="s">
        <v>32</v>
      </c>
      <c r="W93" s="4"/>
      <c r="X93" s="4" t="str">
        <f t="shared" si="1"/>
        <v>Active</v>
      </c>
      <c r="Y93" s="3" t="s">
        <v>71</v>
      </c>
    </row>
    <row r="94" spans="1:25">
      <c r="A94" s="2">
        <v>10093</v>
      </c>
      <c r="B94" s="3" t="s">
        <v>178</v>
      </c>
      <c r="C94" s="3" t="s">
        <v>25</v>
      </c>
      <c r="D94" s="3">
        <v>36</v>
      </c>
      <c r="E94" s="3" t="s">
        <v>26</v>
      </c>
      <c r="F94" s="3" t="s">
        <v>105</v>
      </c>
      <c r="G94" s="3" t="s">
        <v>67</v>
      </c>
      <c r="H94" s="3" t="s">
        <v>57</v>
      </c>
      <c r="I94" s="4">
        <v>45220</v>
      </c>
      <c r="J94" s="3">
        <v>3</v>
      </c>
      <c r="K94" s="5">
        <v>72178.759999999995</v>
      </c>
      <c r="L94" s="5">
        <v>10476.69</v>
      </c>
      <c r="M94" s="3" t="s">
        <v>32</v>
      </c>
      <c r="N94" s="3">
        <v>3</v>
      </c>
      <c r="O94" s="3">
        <v>5</v>
      </c>
      <c r="P94" s="3">
        <v>3</v>
      </c>
      <c r="Q94" s="3">
        <v>24</v>
      </c>
      <c r="R94" s="3" t="s">
        <v>32</v>
      </c>
      <c r="S94" s="3">
        <v>16</v>
      </c>
      <c r="T94" s="3" t="s">
        <v>31</v>
      </c>
      <c r="U94" s="3">
        <v>14</v>
      </c>
      <c r="V94" s="3" t="s">
        <v>32</v>
      </c>
      <c r="W94" s="4"/>
      <c r="X94" s="4" t="str">
        <f t="shared" si="1"/>
        <v>Active</v>
      </c>
      <c r="Y94" s="3" t="s">
        <v>84</v>
      </c>
    </row>
    <row r="95" spans="1:25">
      <c r="A95" s="2">
        <v>10094</v>
      </c>
      <c r="B95" s="3" t="s">
        <v>179</v>
      </c>
      <c r="C95" s="3" t="s">
        <v>41</v>
      </c>
      <c r="D95" s="3">
        <v>46</v>
      </c>
      <c r="E95" s="3" t="s">
        <v>60</v>
      </c>
      <c r="F95" s="3" t="s">
        <v>180</v>
      </c>
      <c r="G95" s="3" t="s">
        <v>78</v>
      </c>
      <c r="H95" s="3" t="s">
        <v>29</v>
      </c>
      <c r="I95" s="4">
        <v>44957</v>
      </c>
      <c r="J95" s="3">
        <v>3</v>
      </c>
      <c r="K95" s="5">
        <v>71467.13</v>
      </c>
      <c r="L95" s="5">
        <v>1898.9</v>
      </c>
      <c r="M95" s="3" t="s">
        <v>32</v>
      </c>
      <c r="N95" s="3">
        <v>4</v>
      </c>
      <c r="O95" s="3">
        <v>3</v>
      </c>
      <c r="P95" s="3">
        <v>5</v>
      </c>
      <c r="Q95" s="3">
        <v>1</v>
      </c>
      <c r="R95" s="3" t="s">
        <v>32</v>
      </c>
      <c r="S95" s="3">
        <v>14</v>
      </c>
      <c r="T95" s="3" t="s">
        <v>52</v>
      </c>
      <c r="U95" s="3">
        <v>8</v>
      </c>
      <c r="V95" s="3" t="s">
        <v>32</v>
      </c>
      <c r="W95" s="4"/>
      <c r="X95" s="4" t="str">
        <f t="shared" si="1"/>
        <v>Active</v>
      </c>
      <c r="Y95" s="3" t="s">
        <v>62</v>
      </c>
    </row>
    <row r="96" spans="1:25">
      <c r="A96" s="2">
        <v>10095</v>
      </c>
      <c r="B96" s="3" t="s">
        <v>181</v>
      </c>
      <c r="C96" s="3" t="s">
        <v>41</v>
      </c>
      <c r="D96" s="3">
        <v>46</v>
      </c>
      <c r="E96" s="3" t="s">
        <v>42</v>
      </c>
      <c r="F96" s="3" t="s">
        <v>127</v>
      </c>
      <c r="G96" s="3" t="s">
        <v>28</v>
      </c>
      <c r="H96" s="3" t="s">
        <v>57</v>
      </c>
      <c r="I96" s="4">
        <v>40781</v>
      </c>
      <c r="J96" s="3">
        <v>15</v>
      </c>
      <c r="K96" s="5">
        <v>56249.19</v>
      </c>
      <c r="L96" s="5">
        <v>4418.1499999999996</v>
      </c>
      <c r="M96" s="3" t="s">
        <v>32</v>
      </c>
      <c r="N96" s="3">
        <v>5</v>
      </c>
      <c r="O96" s="3">
        <v>5</v>
      </c>
      <c r="P96" s="3">
        <v>1</v>
      </c>
      <c r="Q96" s="3">
        <v>16</v>
      </c>
      <c r="R96" s="3" t="s">
        <v>32</v>
      </c>
      <c r="S96" s="3">
        <v>13</v>
      </c>
      <c r="T96" s="3" t="s">
        <v>38</v>
      </c>
      <c r="U96" s="3">
        <v>10</v>
      </c>
      <c r="V96" s="3" t="s">
        <v>32</v>
      </c>
      <c r="W96" s="4"/>
      <c r="X96" s="4" t="str">
        <f t="shared" si="1"/>
        <v>Active</v>
      </c>
      <c r="Y96" s="3" t="s">
        <v>46</v>
      </c>
    </row>
    <row r="97" spans="1:25">
      <c r="A97" s="2">
        <v>10096</v>
      </c>
      <c r="B97" s="3" t="s">
        <v>137</v>
      </c>
      <c r="C97" s="3" t="s">
        <v>25</v>
      </c>
      <c r="D97" s="3">
        <v>53</v>
      </c>
      <c r="E97" s="3" t="s">
        <v>73</v>
      </c>
      <c r="F97" s="3" t="s">
        <v>95</v>
      </c>
      <c r="G97" s="3" t="s">
        <v>67</v>
      </c>
      <c r="H97" s="3" t="s">
        <v>29</v>
      </c>
      <c r="I97" s="4">
        <v>42907</v>
      </c>
      <c r="J97" s="3">
        <v>9</v>
      </c>
      <c r="K97" s="5">
        <v>88237.95</v>
      </c>
      <c r="L97" s="5">
        <v>7721.99</v>
      </c>
      <c r="M97" s="3" t="s">
        <v>30</v>
      </c>
      <c r="N97" s="3">
        <v>5</v>
      </c>
      <c r="O97" s="3">
        <v>2</v>
      </c>
      <c r="P97" s="3">
        <v>3</v>
      </c>
      <c r="Q97" s="3">
        <v>78</v>
      </c>
      <c r="R97" s="3" t="s">
        <v>32</v>
      </c>
      <c r="S97" s="3">
        <v>13</v>
      </c>
      <c r="T97" s="3" t="s">
        <v>31</v>
      </c>
      <c r="U97" s="3">
        <v>9</v>
      </c>
      <c r="V97" s="3" t="s">
        <v>32</v>
      </c>
      <c r="W97" s="4"/>
      <c r="X97" s="4" t="str">
        <f t="shared" si="1"/>
        <v>Active</v>
      </c>
      <c r="Y97" s="3" t="s">
        <v>58</v>
      </c>
    </row>
    <row r="98" spans="1:25">
      <c r="A98" s="2">
        <v>10097</v>
      </c>
      <c r="B98" s="3" t="s">
        <v>182</v>
      </c>
      <c r="C98" s="3" t="s">
        <v>41</v>
      </c>
      <c r="D98" s="3">
        <v>51</v>
      </c>
      <c r="E98" s="3" t="s">
        <v>35</v>
      </c>
      <c r="F98" s="3" t="s">
        <v>36</v>
      </c>
      <c r="G98" s="3" t="s">
        <v>28</v>
      </c>
      <c r="H98" s="3" t="s">
        <v>45</v>
      </c>
      <c r="I98" s="4">
        <v>41076</v>
      </c>
      <c r="J98" s="3">
        <v>14</v>
      </c>
      <c r="K98" s="5">
        <v>83994.9</v>
      </c>
      <c r="L98" s="5">
        <v>8053.54</v>
      </c>
      <c r="M98" s="3" t="s">
        <v>32</v>
      </c>
      <c r="N98" s="3">
        <v>1</v>
      </c>
      <c r="O98" s="3">
        <v>5</v>
      </c>
      <c r="P98" s="3">
        <v>4</v>
      </c>
      <c r="Q98" s="3">
        <v>33</v>
      </c>
      <c r="R98" s="3" t="s">
        <v>32</v>
      </c>
      <c r="S98" s="3">
        <v>26</v>
      </c>
      <c r="T98" s="3" t="s">
        <v>31</v>
      </c>
      <c r="U98" s="3">
        <v>18</v>
      </c>
      <c r="V98" s="3" t="s">
        <v>32</v>
      </c>
      <c r="W98" s="4"/>
      <c r="X98" s="4" t="str">
        <f t="shared" si="1"/>
        <v>Active</v>
      </c>
      <c r="Y98" s="3" t="s">
        <v>39</v>
      </c>
    </row>
    <row r="99" spans="1:25">
      <c r="A99" s="2">
        <v>10098</v>
      </c>
      <c r="B99" s="3" t="s">
        <v>183</v>
      </c>
      <c r="C99" s="3" t="s">
        <v>41</v>
      </c>
      <c r="D99" s="3">
        <v>60</v>
      </c>
      <c r="E99" s="3" t="s">
        <v>35</v>
      </c>
      <c r="F99" s="3" t="s">
        <v>90</v>
      </c>
      <c r="G99" s="3" t="s">
        <v>28</v>
      </c>
      <c r="H99" s="3" t="s">
        <v>45</v>
      </c>
      <c r="I99" s="4">
        <v>42163</v>
      </c>
      <c r="J99" s="3">
        <v>11</v>
      </c>
      <c r="K99" s="5">
        <v>36578.53</v>
      </c>
      <c r="L99" s="5">
        <v>5240.4799999999996</v>
      </c>
      <c r="M99" s="3" t="s">
        <v>30</v>
      </c>
      <c r="N99" s="3">
        <v>1</v>
      </c>
      <c r="O99" s="3">
        <v>4</v>
      </c>
      <c r="P99" s="3">
        <v>3</v>
      </c>
      <c r="Q99" s="3">
        <v>53</v>
      </c>
      <c r="R99" s="3" t="s">
        <v>30</v>
      </c>
      <c r="S99" s="3">
        <v>23</v>
      </c>
      <c r="T99" s="3" t="s">
        <v>52</v>
      </c>
      <c r="U99" s="3">
        <v>13</v>
      </c>
      <c r="V99" s="3" t="s">
        <v>32</v>
      </c>
      <c r="W99" s="4"/>
      <c r="X99" s="4" t="str">
        <f t="shared" si="1"/>
        <v>Active</v>
      </c>
      <c r="Y99" s="3" t="s">
        <v>81</v>
      </c>
    </row>
    <row r="100" spans="1:25">
      <c r="A100" s="2">
        <v>10099</v>
      </c>
      <c r="B100" s="3" t="s">
        <v>184</v>
      </c>
      <c r="C100" s="3" t="s">
        <v>41</v>
      </c>
      <c r="D100" s="3">
        <v>29</v>
      </c>
      <c r="E100" s="3" t="s">
        <v>60</v>
      </c>
      <c r="F100" s="3" t="s">
        <v>64</v>
      </c>
      <c r="G100" s="3" t="s">
        <v>37</v>
      </c>
      <c r="H100" s="3" t="s">
        <v>45</v>
      </c>
      <c r="I100" s="4">
        <v>44097</v>
      </c>
      <c r="J100" s="3">
        <v>6</v>
      </c>
      <c r="K100" s="5">
        <v>84410.79</v>
      </c>
      <c r="L100" s="5">
        <v>5131.1499999999996</v>
      </c>
      <c r="M100" s="3" t="s">
        <v>30</v>
      </c>
      <c r="N100" s="3">
        <v>5</v>
      </c>
      <c r="O100" s="3">
        <v>3</v>
      </c>
      <c r="P100" s="3">
        <v>5</v>
      </c>
      <c r="Q100" s="3">
        <v>45</v>
      </c>
      <c r="R100" s="3" t="s">
        <v>32</v>
      </c>
      <c r="S100" s="3">
        <v>28</v>
      </c>
      <c r="T100" s="3" t="s">
        <v>31</v>
      </c>
      <c r="U100" s="3">
        <v>20</v>
      </c>
      <c r="V100" s="3" t="s">
        <v>32</v>
      </c>
      <c r="W100" s="4"/>
      <c r="X100" s="4" t="str">
        <f t="shared" si="1"/>
        <v>Active</v>
      </c>
      <c r="Y100" s="3" t="s">
        <v>84</v>
      </c>
    </row>
    <row r="101" spans="1:25">
      <c r="A101" s="2">
        <v>10100</v>
      </c>
      <c r="B101" s="3" t="s">
        <v>185</v>
      </c>
      <c r="C101" s="3" t="s">
        <v>41</v>
      </c>
      <c r="D101" s="3">
        <v>38</v>
      </c>
      <c r="E101" s="3" t="s">
        <v>60</v>
      </c>
      <c r="F101" s="3" t="s">
        <v>122</v>
      </c>
      <c r="G101" s="3" t="s">
        <v>28</v>
      </c>
      <c r="H101" s="3" t="s">
        <v>57</v>
      </c>
      <c r="I101" s="4">
        <v>42546</v>
      </c>
      <c r="J101" s="3">
        <v>10</v>
      </c>
      <c r="K101" s="5">
        <v>97867.57</v>
      </c>
      <c r="L101" s="5">
        <v>10739.12</v>
      </c>
      <c r="M101" s="3" t="s">
        <v>32</v>
      </c>
      <c r="N101" s="3">
        <v>4</v>
      </c>
      <c r="O101" s="3">
        <v>3</v>
      </c>
      <c r="P101" s="3">
        <v>5</v>
      </c>
      <c r="Q101" s="3">
        <v>35</v>
      </c>
      <c r="R101" s="3" t="s">
        <v>32</v>
      </c>
      <c r="S101" s="3">
        <v>19</v>
      </c>
      <c r="T101" s="3" t="s">
        <v>31</v>
      </c>
      <c r="U101" s="3">
        <v>17</v>
      </c>
      <c r="V101" s="3" t="s">
        <v>32</v>
      </c>
      <c r="W101" s="4"/>
      <c r="X101" s="4" t="str">
        <f t="shared" si="1"/>
        <v>Active</v>
      </c>
      <c r="Y101" s="3" t="s">
        <v>33</v>
      </c>
    </row>
    <row r="102" spans="1:25">
      <c r="A102" s="2">
        <v>10101</v>
      </c>
      <c r="B102" s="3" t="s">
        <v>186</v>
      </c>
      <c r="C102" s="3" t="s">
        <v>41</v>
      </c>
      <c r="D102" s="3">
        <v>23</v>
      </c>
      <c r="E102" s="3" t="s">
        <v>102</v>
      </c>
      <c r="F102" s="3" t="s">
        <v>107</v>
      </c>
      <c r="G102" s="3" t="s">
        <v>28</v>
      </c>
      <c r="H102" s="3" t="s">
        <v>57</v>
      </c>
      <c r="I102" s="4">
        <v>45552</v>
      </c>
      <c r="J102" s="3">
        <v>2</v>
      </c>
      <c r="K102" s="5">
        <v>46539.98</v>
      </c>
      <c r="L102" s="5">
        <v>3829.32</v>
      </c>
      <c r="M102" s="3" t="s">
        <v>30</v>
      </c>
      <c r="N102" s="3">
        <v>5</v>
      </c>
      <c r="O102" s="3">
        <v>3</v>
      </c>
      <c r="P102" s="3">
        <v>5</v>
      </c>
      <c r="Q102" s="3">
        <v>34</v>
      </c>
      <c r="R102" s="3" t="s">
        <v>30</v>
      </c>
      <c r="S102" s="3">
        <v>20</v>
      </c>
      <c r="T102" s="3" t="s">
        <v>31</v>
      </c>
      <c r="U102" s="3">
        <v>18</v>
      </c>
      <c r="V102" s="3" t="s">
        <v>32</v>
      </c>
      <c r="W102" s="4"/>
      <c r="X102" s="4" t="str">
        <f t="shared" si="1"/>
        <v>Active</v>
      </c>
      <c r="Y102" s="3" t="s">
        <v>39</v>
      </c>
    </row>
    <row r="103" spans="1:25">
      <c r="A103" s="2">
        <v>10102</v>
      </c>
      <c r="B103" s="3" t="s">
        <v>187</v>
      </c>
      <c r="C103" s="3" t="s">
        <v>25</v>
      </c>
      <c r="D103" s="3">
        <v>27</v>
      </c>
      <c r="E103" s="3" t="s">
        <v>73</v>
      </c>
      <c r="F103" s="3" t="s">
        <v>77</v>
      </c>
      <c r="G103" s="3" t="s">
        <v>37</v>
      </c>
      <c r="H103" s="3" t="s">
        <v>29</v>
      </c>
      <c r="I103" s="4">
        <v>41305</v>
      </c>
      <c r="J103" s="3">
        <v>13</v>
      </c>
      <c r="K103" s="5">
        <v>40310.89</v>
      </c>
      <c r="L103" s="5">
        <v>3690.29</v>
      </c>
      <c r="M103" s="3" t="s">
        <v>32</v>
      </c>
      <c r="N103" s="3">
        <v>4</v>
      </c>
      <c r="O103" s="3">
        <v>4</v>
      </c>
      <c r="P103" s="3">
        <v>4</v>
      </c>
      <c r="Q103" s="3">
        <v>25</v>
      </c>
      <c r="R103" s="3" t="s">
        <v>32</v>
      </c>
      <c r="S103" s="3">
        <v>10</v>
      </c>
      <c r="T103" s="3" t="s">
        <v>38</v>
      </c>
      <c r="U103" s="3">
        <v>9</v>
      </c>
      <c r="V103" s="3" t="s">
        <v>32</v>
      </c>
      <c r="W103" s="4"/>
      <c r="X103" s="4" t="str">
        <f t="shared" si="1"/>
        <v>Active</v>
      </c>
      <c r="Y103" s="3" t="s">
        <v>75</v>
      </c>
    </row>
    <row r="104" spans="1:25">
      <c r="A104" s="2">
        <v>10103</v>
      </c>
      <c r="B104" s="3" t="s">
        <v>188</v>
      </c>
      <c r="C104" s="3" t="s">
        <v>25</v>
      </c>
      <c r="D104" s="3">
        <v>55</v>
      </c>
      <c r="E104" s="3" t="s">
        <v>48</v>
      </c>
      <c r="F104" s="3" t="s">
        <v>125</v>
      </c>
      <c r="G104" s="3" t="s">
        <v>78</v>
      </c>
      <c r="H104" s="3" t="s">
        <v>29</v>
      </c>
      <c r="I104" s="4">
        <v>43602</v>
      </c>
      <c r="J104" s="3">
        <v>7</v>
      </c>
      <c r="K104" s="5">
        <v>83523.47</v>
      </c>
      <c r="L104" s="5">
        <v>3579.19</v>
      </c>
      <c r="M104" s="3" t="s">
        <v>32</v>
      </c>
      <c r="N104" s="3">
        <v>4</v>
      </c>
      <c r="O104" s="3">
        <v>4</v>
      </c>
      <c r="P104" s="3">
        <v>2</v>
      </c>
      <c r="Q104" s="3">
        <v>37</v>
      </c>
      <c r="R104" s="3" t="s">
        <v>32</v>
      </c>
      <c r="S104" s="3">
        <v>1</v>
      </c>
      <c r="T104" s="3" t="s">
        <v>38</v>
      </c>
      <c r="U104" s="3">
        <v>18</v>
      </c>
      <c r="V104" s="3" t="s">
        <v>32</v>
      </c>
      <c r="W104" s="4"/>
      <c r="X104" s="4" t="str">
        <f t="shared" si="1"/>
        <v>Active</v>
      </c>
      <c r="Y104" s="3" t="s">
        <v>75</v>
      </c>
    </row>
    <row r="105" spans="1:25">
      <c r="A105" s="2">
        <v>10104</v>
      </c>
      <c r="B105" s="3" t="s">
        <v>177</v>
      </c>
      <c r="C105" s="3" t="s">
        <v>41</v>
      </c>
      <c r="D105" s="3">
        <v>55</v>
      </c>
      <c r="E105" s="3" t="s">
        <v>60</v>
      </c>
      <c r="F105" s="3" t="s">
        <v>180</v>
      </c>
      <c r="G105" s="3" t="s">
        <v>44</v>
      </c>
      <c r="H105" s="3" t="s">
        <v>29</v>
      </c>
      <c r="I105" s="4">
        <v>44309</v>
      </c>
      <c r="J105" s="3">
        <v>5</v>
      </c>
      <c r="K105" s="5">
        <v>80101.56</v>
      </c>
      <c r="L105" s="5">
        <v>3609.82</v>
      </c>
      <c r="M105" s="3" t="s">
        <v>30</v>
      </c>
      <c r="N105" s="3">
        <v>2</v>
      </c>
      <c r="O105" s="3">
        <v>4</v>
      </c>
      <c r="P105" s="3">
        <v>3</v>
      </c>
      <c r="Q105" s="3">
        <v>23</v>
      </c>
      <c r="R105" s="3" t="s">
        <v>30</v>
      </c>
      <c r="S105" s="3">
        <v>11</v>
      </c>
      <c r="T105" s="3" t="s">
        <v>38</v>
      </c>
      <c r="U105" s="3">
        <v>18</v>
      </c>
      <c r="V105" s="3" t="s">
        <v>32</v>
      </c>
      <c r="W105" s="4"/>
      <c r="X105" s="4" t="str">
        <f t="shared" si="1"/>
        <v>Active</v>
      </c>
      <c r="Y105" s="3" t="s">
        <v>68</v>
      </c>
    </row>
    <row r="106" spans="1:25">
      <c r="A106" s="2">
        <v>10105</v>
      </c>
      <c r="B106" s="3" t="s">
        <v>189</v>
      </c>
      <c r="C106" s="3" t="s">
        <v>25</v>
      </c>
      <c r="D106" s="3">
        <v>46</v>
      </c>
      <c r="E106" s="3" t="s">
        <v>35</v>
      </c>
      <c r="F106" s="3" t="s">
        <v>90</v>
      </c>
      <c r="G106" s="3" t="s">
        <v>37</v>
      </c>
      <c r="H106" s="3" t="s">
        <v>29</v>
      </c>
      <c r="I106" s="4">
        <v>43462</v>
      </c>
      <c r="J106" s="3">
        <v>8</v>
      </c>
      <c r="K106" s="5">
        <v>68462.789999999994</v>
      </c>
      <c r="L106" s="5">
        <v>3013.84</v>
      </c>
      <c r="M106" s="3" t="s">
        <v>30</v>
      </c>
      <c r="N106" s="3">
        <v>3</v>
      </c>
      <c r="O106" s="3">
        <v>2</v>
      </c>
      <c r="P106" s="3">
        <v>1</v>
      </c>
      <c r="Q106" s="3">
        <v>33</v>
      </c>
      <c r="R106" s="3" t="s">
        <v>32</v>
      </c>
      <c r="S106" s="3">
        <v>15</v>
      </c>
      <c r="T106" s="3" t="s">
        <v>38</v>
      </c>
      <c r="U106" s="3">
        <v>10</v>
      </c>
      <c r="V106" s="3" t="s">
        <v>32</v>
      </c>
      <c r="W106" s="4"/>
      <c r="X106" s="4" t="str">
        <f t="shared" si="1"/>
        <v>Active</v>
      </c>
      <c r="Y106" s="3" t="s">
        <v>53</v>
      </c>
    </row>
    <row r="107" spans="1:25">
      <c r="A107" s="2">
        <v>10106</v>
      </c>
      <c r="B107" s="3" t="s">
        <v>190</v>
      </c>
      <c r="C107" s="3" t="s">
        <v>25</v>
      </c>
      <c r="D107" s="3">
        <v>44</v>
      </c>
      <c r="E107" s="3" t="s">
        <v>48</v>
      </c>
      <c r="F107" s="3" t="s">
        <v>111</v>
      </c>
      <c r="G107" s="3" t="s">
        <v>67</v>
      </c>
      <c r="H107" s="3" t="s">
        <v>29</v>
      </c>
      <c r="I107" s="4">
        <v>43991</v>
      </c>
      <c r="J107" s="3">
        <v>6</v>
      </c>
      <c r="K107" s="5">
        <v>51874.35</v>
      </c>
      <c r="L107" s="5">
        <v>3771.48</v>
      </c>
      <c r="M107" s="3" t="s">
        <v>32</v>
      </c>
      <c r="N107" s="3">
        <v>3</v>
      </c>
      <c r="O107" s="3">
        <v>1</v>
      </c>
      <c r="P107" s="3">
        <v>3</v>
      </c>
      <c r="Q107" s="3">
        <v>47</v>
      </c>
      <c r="R107" s="3" t="s">
        <v>32</v>
      </c>
      <c r="S107" s="3">
        <v>8</v>
      </c>
      <c r="T107" s="3" t="s">
        <v>52</v>
      </c>
      <c r="U107" s="3">
        <v>15</v>
      </c>
      <c r="V107" s="3" t="s">
        <v>30</v>
      </c>
      <c r="W107" s="4">
        <v>46093</v>
      </c>
      <c r="X107" s="4" t="str">
        <f t="shared" si="1"/>
        <v>Exited</v>
      </c>
      <c r="Y107" s="3" t="s">
        <v>81</v>
      </c>
    </row>
    <row r="108" spans="1:25">
      <c r="A108" s="2">
        <v>10107</v>
      </c>
      <c r="B108" s="3" t="s">
        <v>191</v>
      </c>
      <c r="C108" s="3" t="s">
        <v>41</v>
      </c>
      <c r="D108" s="3">
        <v>56</v>
      </c>
      <c r="E108" s="3" t="s">
        <v>73</v>
      </c>
      <c r="F108" s="3" t="s">
        <v>74</v>
      </c>
      <c r="G108" s="3" t="s">
        <v>37</v>
      </c>
      <c r="H108" s="3" t="s">
        <v>45</v>
      </c>
      <c r="I108" s="4">
        <v>45059</v>
      </c>
      <c r="J108" s="3">
        <v>3</v>
      </c>
      <c r="K108" s="5">
        <v>92388.1</v>
      </c>
      <c r="L108" s="5">
        <v>2831.06</v>
      </c>
      <c r="M108" s="3" t="s">
        <v>32</v>
      </c>
      <c r="N108" s="3">
        <v>3</v>
      </c>
      <c r="O108" s="3">
        <v>1</v>
      </c>
      <c r="P108" s="3">
        <v>5</v>
      </c>
      <c r="Q108" s="3">
        <v>14</v>
      </c>
      <c r="R108" s="3" t="s">
        <v>30</v>
      </c>
      <c r="S108" s="3">
        <v>18</v>
      </c>
      <c r="T108" s="3" t="s">
        <v>31</v>
      </c>
      <c r="U108" s="3">
        <v>6</v>
      </c>
      <c r="V108" s="3" t="s">
        <v>32</v>
      </c>
      <c r="W108" s="4"/>
      <c r="X108" s="4" t="str">
        <f t="shared" si="1"/>
        <v>Active</v>
      </c>
      <c r="Y108" s="3" t="s">
        <v>87</v>
      </c>
    </row>
    <row r="109" spans="1:25">
      <c r="A109" s="2">
        <v>10108</v>
      </c>
      <c r="B109" s="3" t="s">
        <v>133</v>
      </c>
      <c r="C109" s="3" t="s">
        <v>25</v>
      </c>
      <c r="D109" s="3">
        <v>54</v>
      </c>
      <c r="E109" s="3" t="s">
        <v>73</v>
      </c>
      <c r="F109" s="3" t="s">
        <v>95</v>
      </c>
      <c r="G109" s="3" t="s">
        <v>37</v>
      </c>
      <c r="H109" s="3" t="s">
        <v>45</v>
      </c>
      <c r="I109" s="4">
        <v>44956</v>
      </c>
      <c r="J109" s="3">
        <v>3</v>
      </c>
      <c r="K109" s="5">
        <v>69329.679999999993</v>
      </c>
      <c r="L109" s="5">
        <v>9488.16</v>
      </c>
      <c r="M109" s="3" t="s">
        <v>32</v>
      </c>
      <c r="N109" s="3">
        <v>1</v>
      </c>
      <c r="O109" s="3">
        <v>4</v>
      </c>
      <c r="P109" s="3">
        <v>2</v>
      </c>
      <c r="Q109" s="3">
        <v>65</v>
      </c>
      <c r="R109" s="3" t="s">
        <v>32</v>
      </c>
      <c r="S109" s="3">
        <v>19</v>
      </c>
      <c r="T109" s="3" t="s">
        <v>52</v>
      </c>
      <c r="U109" s="3">
        <v>17</v>
      </c>
      <c r="V109" s="3" t="s">
        <v>32</v>
      </c>
      <c r="W109" s="4"/>
      <c r="X109" s="4" t="str">
        <f t="shared" si="1"/>
        <v>Active</v>
      </c>
      <c r="Y109" s="3" t="s">
        <v>62</v>
      </c>
    </row>
    <row r="110" spans="1:25">
      <c r="A110" s="2">
        <v>10109</v>
      </c>
      <c r="B110" s="3" t="s">
        <v>192</v>
      </c>
      <c r="C110" s="3" t="s">
        <v>41</v>
      </c>
      <c r="D110" s="3">
        <v>37</v>
      </c>
      <c r="E110" s="3" t="s">
        <v>35</v>
      </c>
      <c r="F110" s="3" t="s">
        <v>36</v>
      </c>
      <c r="G110" s="3" t="s">
        <v>37</v>
      </c>
      <c r="H110" s="3" t="s">
        <v>45</v>
      </c>
      <c r="I110" s="4">
        <v>40777</v>
      </c>
      <c r="J110" s="3">
        <v>15</v>
      </c>
      <c r="K110" s="5">
        <v>37264.49</v>
      </c>
      <c r="L110" s="5">
        <v>2414.3200000000002</v>
      </c>
      <c r="M110" s="3" t="s">
        <v>30</v>
      </c>
      <c r="N110" s="3">
        <v>1</v>
      </c>
      <c r="O110" s="3">
        <v>1</v>
      </c>
      <c r="P110" s="3">
        <v>4</v>
      </c>
      <c r="Q110" s="3">
        <v>4</v>
      </c>
      <c r="R110" s="3" t="s">
        <v>32</v>
      </c>
      <c r="S110" s="3">
        <v>6</v>
      </c>
      <c r="T110" s="3" t="s">
        <v>52</v>
      </c>
      <c r="U110" s="3">
        <v>20</v>
      </c>
      <c r="V110" s="3" t="s">
        <v>32</v>
      </c>
      <c r="W110" s="4"/>
      <c r="X110" s="4" t="str">
        <f t="shared" si="1"/>
        <v>Active</v>
      </c>
      <c r="Y110" s="3" t="s">
        <v>132</v>
      </c>
    </row>
    <row r="111" spans="1:25">
      <c r="A111" s="2">
        <v>10110</v>
      </c>
      <c r="B111" s="3" t="s">
        <v>193</v>
      </c>
      <c r="C111" s="3" t="s">
        <v>41</v>
      </c>
      <c r="D111" s="3">
        <v>45</v>
      </c>
      <c r="E111" s="3" t="s">
        <v>73</v>
      </c>
      <c r="F111" s="3" t="s">
        <v>99</v>
      </c>
      <c r="G111" s="3" t="s">
        <v>28</v>
      </c>
      <c r="H111" s="3" t="s">
        <v>45</v>
      </c>
      <c r="I111" s="4">
        <v>45600</v>
      </c>
      <c r="J111" s="3">
        <v>2</v>
      </c>
      <c r="K111" s="5">
        <v>92473.22</v>
      </c>
      <c r="L111" s="5">
        <v>3448.2</v>
      </c>
      <c r="M111" s="3" t="s">
        <v>32</v>
      </c>
      <c r="N111" s="3">
        <v>1</v>
      </c>
      <c r="O111" s="3">
        <v>2</v>
      </c>
      <c r="P111" s="3">
        <v>5</v>
      </c>
      <c r="Q111" s="3">
        <v>50</v>
      </c>
      <c r="R111" s="3" t="s">
        <v>32</v>
      </c>
      <c r="S111" s="3">
        <v>24</v>
      </c>
      <c r="T111" s="3" t="s">
        <v>52</v>
      </c>
      <c r="U111" s="3">
        <v>0</v>
      </c>
      <c r="V111" s="3" t="s">
        <v>32</v>
      </c>
      <c r="W111" s="4"/>
      <c r="X111" s="4" t="str">
        <f t="shared" si="1"/>
        <v>Active</v>
      </c>
      <c r="Y111" s="3" t="s">
        <v>84</v>
      </c>
    </row>
    <row r="112" spans="1:25">
      <c r="A112" s="2">
        <v>10111</v>
      </c>
      <c r="B112" s="3" t="s">
        <v>194</v>
      </c>
      <c r="C112" s="3" t="s">
        <v>41</v>
      </c>
      <c r="D112" s="3">
        <v>55</v>
      </c>
      <c r="E112" s="3" t="s">
        <v>73</v>
      </c>
      <c r="F112" s="3" t="s">
        <v>74</v>
      </c>
      <c r="G112" s="3" t="s">
        <v>28</v>
      </c>
      <c r="H112" s="3" t="s">
        <v>57</v>
      </c>
      <c r="I112" s="4">
        <v>41449</v>
      </c>
      <c r="J112" s="3">
        <v>13</v>
      </c>
      <c r="K112" s="5">
        <v>56538.98</v>
      </c>
      <c r="L112" s="5">
        <v>8020.81</v>
      </c>
      <c r="M112" s="3" t="s">
        <v>32</v>
      </c>
      <c r="N112" s="3">
        <v>1</v>
      </c>
      <c r="O112" s="3">
        <v>1</v>
      </c>
      <c r="P112" s="3">
        <v>4</v>
      </c>
      <c r="Q112" s="3">
        <v>78</v>
      </c>
      <c r="R112" s="3" t="s">
        <v>32</v>
      </c>
      <c r="S112" s="3">
        <v>29</v>
      </c>
      <c r="T112" s="3" t="s">
        <v>52</v>
      </c>
      <c r="U112" s="3">
        <v>7</v>
      </c>
      <c r="V112" s="3" t="s">
        <v>32</v>
      </c>
      <c r="W112" s="4"/>
      <c r="X112" s="4" t="str">
        <f t="shared" si="1"/>
        <v>Active</v>
      </c>
      <c r="Y112" s="3" t="s">
        <v>65</v>
      </c>
    </row>
    <row r="113" spans="1:25">
      <c r="A113" s="2">
        <v>10112</v>
      </c>
      <c r="B113" s="3" t="s">
        <v>195</v>
      </c>
      <c r="C113" s="3" t="s">
        <v>25</v>
      </c>
      <c r="D113" s="3">
        <v>24</v>
      </c>
      <c r="E113" s="3" t="s">
        <v>26</v>
      </c>
      <c r="F113" s="3" t="s">
        <v>105</v>
      </c>
      <c r="G113" s="3" t="s">
        <v>28</v>
      </c>
      <c r="H113" s="3" t="s">
        <v>29</v>
      </c>
      <c r="I113" s="4">
        <v>44600</v>
      </c>
      <c r="J113" s="3">
        <v>4</v>
      </c>
      <c r="K113" s="5">
        <v>59122.5</v>
      </c>
      <c r="L113" s="5">
        <v>7821.02</v>
      </c>
      <c r="M113" s="3" t="s">
        <v>30</v>
      </c>
      <c r="N113" s="3">
        <v>5</v>
      </c>
      <c r="O113" s="3">
        <v>3</v>
      </c>
      <c r="P113" s="3">
        <v>2</v>
      </c>
      <c r="Q113" s="3">
        <v>73</v>
      </c>
      <c r="R113" s="3" t="s">
        <v>32</v>
      </c>
      <c r="S113" s="3">
        <v>20</v>
      </c>
      <c r="T113" s="3" t="s">
        <v>31</v>
      </c>
      <c r="U113" s="3">
        <v>10</v>
      </c>
      <c r="V113" s="3" t="s">
        <v>32</v>
      </c>
      <c r="W113" s="4"/>
      <c r="X113" s="4" t="str">
        <f t="shared" si="1"/>
        <v>Active</v>
      </c>
      <c r="Y113" s="3" t="s">
        <v>75</v>
      </c>
    </row>
    <row r="114" spans="1:25">
      <c r="A114" s="2">
        <v>10113</v>
      </c>
      <c r="B114" s="3" t="s">
        <v>196</v>
      </c>
      <c r="C114" s="3" t="s">
        <v>25</v>
      </c>
      <c r="D114" s="3">
        <v>47</v>
      </c>
      <c r="E114" s="3" t="s">
        <v>102</v>
      </c>
      <c r="F114" s="3" t="s">
        <v>116</v>
      </c>
      <c r="G114" s="3" t="s">
        <v>67</v>
      </c>
      <c r="H114" s="3" t="s">
        <v>45</v>
      </c>
      <c r="I114" s="4">
        <v>41613</v>
      </c>
      <c r="J114" s="3">
        <v>13</v>
      </c>
      <c r="K114" s="5">
        <v>63169.69</v>
      </c>
      <c r="L114" s="5">
        <v>4771.59</v>
      </c>
      <c r="M114" s="3" t="s">
        <v>32</v>
      </c>
      <c r="N114" s="3">
        <v>3</v>
      </c>
      <c r="O114" s="3">
        <v>4</v>
      </c>
      <c r="P114" s="3">
        <v>5</v>
      </c>
      <c r="Q114" s="3">
        <v>40</v>
      </c>
      <c r="R114" s="3" t="s">
        <v>32</v>
      </c>
      <c r="S114" s="3">
        <v>14</v>
      </c>
      <c r="T114" s="3" t="s">
        <v>52</v>
      </c>
      <c r="U114" s="3">
        <v>9</v>
      </c>
      <c r="V114" s="3" t="s">
        <v>32</v>
      </c>
      <c r="W114" s="4"/>
      <c r="X114" s="4" t="str">
        <f t="shared" si="1"/>
        <v>Active</v>
      </c>
      <c r="Y114" s="3" t="s">
        <v>62</v>
      </c>
    </row>
    <row r="115" spans="1:25">
      <c r="A115" s="2">
        <v>10114</v>
      </c>
      <c r="B115" s="3" t="s">
        <v>146</v>
      </c>
      <c r="C115" s="3" t="s">
        <v>41</v>
      </c>
      <c r="D115" s="3">
        <v>35</v>
      </c>
      <c r="E115" s="3" t="s">
        <v>102</v>
      </c>
      <c r="F115" s="3" t="s">
        <v>165</v>
      </c>
      <c r="G115" s="3" t="s">
        <v>44</v>
      </c>
      <c r="H115" s="3" t="s">
        <v>29</v>
      </c>
      <c r="I115" s="4">
        <v>44786</v>
      </c>
      <c r="J115" s="3">
        <v>4</v>
      </c>
      <c r="K115" s="5">
        <v>53570.49</v>
      </c>
      <c r="L115" s="5">
        <v>3972.04</v>
      </c>
      <c r="M115" s="3" t="s">
        <v>32</v>
      </c>
      <c r="N115" s="3">
        <v>4</v>
      </c>
      <c r="O115" s="3">
        <v>2</v>
      </c>
      <c r="P115" s="3">
        <v>3</v>
      </c>
      <c r="Q115" s="3">
        <v>26</v>
      </c>
      <c r="R115" s="3" t="s">
        <v>32</v>
      </c>
      <c r="S115" s="3">
        <v>3</v>
      </c>
      <c r="T115" s="3" t="s">
        <v>38</v>
      </c>
      <c r="U115" s="3">
        <v>11</v>
      </c>
      <c r="V115" s="3" t="s">
        <v>30</v>
      </c>
      <c r="W115" s="4">
        <v>46045</v>
      </c>
      <c r="X115" s="4" t="str">
        <f t="shared" si="1"/>
        <v>Exited</v>
      </c>
      <c r="Y115" s="3" t="s">
        <v>55</v>
      </c>
    </row>
    <row r="116" spans="1:25">
      <c r="A116" s="2">
        <v>10115</v>
      </c>
      <c r="B116" s="3" t="s">
        <v>197</v>
      </c>
      <c r="C116" s="3" t="s">
        <v>25</v>
      </c>
      <c r="D116" s="3">
        <v>45</v>
      </c>
      <c r="E116" s="3" t="s">
        <v>48</v>
      </c>
      <c r="F116" s="3" t="s">
        <v>125</v>
      </c>
      <c r="G116" s="3" t="s">
        <v>44</v>
      </c>
      <c r="H116" s="3" t="s">
        <v>29</v>
      </c>
      <c r="I116" s="4">
        <v>44992</v>
      </c>
      <c r="J116" s="3">
        <v>3</v>
      </c>
      <c r="K116" s="5">
        <v>74836.789999999994</v>
      </c>
      <c r="L116" s="5">
        <v>6933.67</v>
      </c>
      <c r="M116" s="3" t="s">
        <v>32</v>
      </c>
      <c r="N116" s="3">
        <v>3</v>
      </c>
      <c r="O116" s="3">
        <v>3</v>
      </c>
      <c r="P116" s="3">
        <v>1</v>
      </c>
      <c r="Q116" s="3">
        <v>27</v>
      </c>
      <c r="R116" s="3" t="s">
        <v>32</v>
      </c>
      <c r="S116" s="3">
        <v>24</v>
      </c>
      <c r="T116" s="3" t="s">
        <v>52</v>
      </c>
      <c r="U116" s="3">
        <v>15</v>
      </c>
      <c r="V116" s="3" t="s">
        <v>32</v>
      </c>
      <c r="W116" s="4"/>
      <c r="X116" s="4" t="str">
        <f t="shared" si="1"/>
        <v>Active</v>
      </c>
      <c r="Y116" s="3" t="s">
        <v>53</v>
      </c>
    </row>
    <row r="117" spans="1:25">
      <c r="A117" s="2">
        <v>10116</v>
      </c>
      <c r="B117" s="3" t="s">
        <v>198</v>
      </c>
      <c r="C117" s="3" t="s">
        <v>25</v>
      </c>
      <c r="D117" s="3">
        <v>36</v>
      </c>
      <c r="E117" s="3" t="s">
        <v>60</v>
      </c>
      <c r="F117" s="3" t="s">
        <v>122</v>
      </c>
      <c r="G117" s="3" t="s">
        <v>37</v>
      </c>
      <c r="H117" s="3" t="s">
        <v>57</v>
      </c>
      <c r="I117" s="4">
        <v>43998</v>
      </c>
      <c r="J117" s="3">
        <v>6</v>
      </c>
      <c r="K117" s="5">
        <v>85023.76</v>
      </c>
      <c r="L117" s="5">
        <v>5671.4</v>
      </c>
      <c r="M117" s="3" t="s">
        <v>30</v>
      </c>
      <c r="N117" s="3">
        <v>5</v>
      </c>
      <c r="O117" s="3">
        <v>4</v>
      </c>
      <c r="P117" s="3">
        <v>4</v>
      </c>
      <c r="Q117" s="3">
        <v>12</v>
      </c>
      <c r="R117" s="3" t="s">
        <v>32</v>
      </c>
      <c r="S117" s="3">
        <v>24</v>
      </c>
      <c r="T117" s="3" t="s">
        <v>38</v>
      </c>
      <c r="U117" s="3">
        <v>10</v>
      </c>
      <c r="V117" s="3" t="s">
        <v>32</v>
      </c>
      <c r="W117" s="4"/>
      <c r="X117" s="4" t="str">
        <f t="shared" si="1"/>
        <v>Active</v>
      </c>
      <c r="Y117" s="3" t="s">
        <v>46</v>
      </c>
    </row>
    <row r="118" spans="1:25">
      <c r="A118" s="2">
        <v>10117</v>
      </c>
      <c r="B118" s="3" t="s">
        <v>199</v>
      </c>
      <c r="C118" s="3" t="s">
        <v>41</v>
      </c>
      <c r="D118" s="3">
        <v>57</v>
      </c>
      <c r="E118" s="3" t="s">
        <v>35</v>
      </c>
      <c r="F118" s="3" t="s">
        <v>80</v>
      </c>
      <c r="G118" s="3" t="s">
        <v>37</v>
      </c>
      <c r="H118" s="3" t="s">
        <v>29</v>
      </c>
      <c r="I118" s="4">
        <v>42315</v>
      </c>
      <c r="J118" s="3">
        <v>11</v>
      </c>
      <c r="K118" s="5">
        <v>62665.58</v>
      </c>
      <c r="L118" s="5">
        <v>6011.14</v>
      </c>
      <c r="M118" s="3" t="s">
        <v>32</v>
      </c>
      <c r="N118" s="3">
        <v>3</v>
      </c>
      <c r="O118" s="3">
        <v>2</v>
      </c>
      <c r="P118" s="3">
        <v>2</v>
      </c>
      <c r="Q118" s="3">
        <v>42</v>
      </c>
      <c r="R118" s="3" t="s">
        <v>30</v>
      </c>
      <c r="S118" s="3">
        <v>19</v>
      </c>
      <c r="T118" s="3" t="s">
        <v>52</v>
      </c>
      <c r="U118" s="3">
        <v>15</v>
      </c>
      <c r="V118" s="3" t="s">
        <v>32</v>
      </c>
      <c r="W118" s="4"/>
      <c r="X118" s="4" t="str">
        <f t="shared" si="1"/>
        <v>Active</v>
      </c>
      <c r="Y118" s="3" t="s">
        <v>132</v>
      </c>
    </row>
    <row r="119" spans="1:25">
      <c r="A119" s="2">
        <v>10118</v>
      </c>
      <c r="B119" s="3" t="s">
        <v>106</v>
      </c>
      <c r="C119" s="3" t="s">
        <v>41</v>
      </c>
      <c r="D119" s="3">
        <v>52</v>
      </c>
      <c r="E119" s="3" t="s">
        <v>48</v>
      </c>
      <c r="F119" s="3" t="s">
        <v>200</v>
      </c>
      <c r="G119" s="3" t="s">
        <v>28</v>
      </c>
      <c r="H119" s="3" t="s">
        <v>45</v>
      </c>
      <c r="I119" s="4">
        <v>43064</v>
      </c>
      <c r="J119" s="3">
        <v>9</v>
      </c>
      <c r="K119" s="5">
        <v>44309.61</v>
      </c>
      <c r="L119" s="5">
        <v>5035.38</v>
      </c>
      <c r="M119" s="3" t="s">
        <v>32</v>
      </c>
      <c r="N119" s="3">
        <v>5</v>
      </c>
      <c r="O119" s="3">
        <v>1</v>
      </c>
      <c r="P119" s="3">
        <v>5</v>
      </c>
      <c r="Q119" s="3">
        <v>4</v>
      </c>
      <c r="R119" s="3" t="s">
        <v>32</v>
      </c>
      <c r="S119" s="3">
        <v>3</v>
      </c>
      <c r="T119" s="3" t="s">
        <v>31</v>
      </c>
      <c r="U119" s="3">
        <v>1</v>
      </c>
      <c r="V119" s="3" t="s">
        <v>32</v>
      </c>
      <c r="W119" s="4"/>
      <c r="X119" s="4" t="str">
        <f t="shared" si="1"/>
        <v>Active</v>
      </c>
      <c r="Y119" s="3" t="s">
        <v>33</v>
      </c>
    </row>
    <row r="120" spans="1:25">
      <c r="A120" s="2">
        <v>10119</v>
      </c>
      <c r="B120" s="3" t="s">
        <v>201</v>
      </c>
      <c r="C120" s="3" t="s">
        <v>25</v>
      </c>
      <c r="D120" s="3">
        <v>30</v>
      </c>
      <c r="E120" s="3" t="s">
        <v>42</v>
      </c>
      <c r="F120" s="3" t="s">
        <v>127</v>
      </c>
      <c r="G120" s="3" t="s">
        <v>37</v>
      </c>
      <c r="H120" s="3" t="s">
        <v>57</v>
      </c>
      <c r="I120" s="4">
        <v>40674</v>
      </c>
      <c r="J120" s="3">
        <v>15</v>
      </c>
      <c r="K120" s="5">
        <v>68980.94</v>
      </c>
      <c r="L120" s="5">
        <v>7358.76</v>
      </c>
      <c r="M120" s="3" t="s">
        <v>32</v>
      </c>
      <c r="N120" s="3">
        <v>4</v>
      </c>
      <c r="O120" s="3">
        <v>4</v>
      </c>
      <c r="P120" s="3">
        <v>1</v>
      </c>
      <c r="Q120" s="3">
        <v>0</v>
      </c>
      <c r="R120" s="3" t="s">
        <v>32</v>
      </c>
      <c r="S120" s="3">
        <v>14</v>
      </c>
      <c r="T120" s="3" t="s">
        <v>52</v>
      </c>
      <c r="U120" s="3">
        <v>0</v>
      </c>
      <c r="V120" s="3" t="s">
        <v>32</v>
      </c>
      <c r="W120" s="4"/>
      <c r="X120" s="4" t="str">
        <f t="shared" si="1"/>
        <v>Active</v>
      </c>
      <c r="Y120" s="3" t="s">
        <v>84</v>
      </c>
    </row>
    <row r="121" spans="1:25">
      <c r="A121" s="2">
        <v>10120</v>
      </c>
      <c r="B121" s="3" t="s">
        <v>202</v>
      </c>
      <c r="C121" s="3" t="s">
        <v>41</v>
      </c>
      <c r="D121" s="3">
        <v>48</v>
      </c>
      <c r="E121" s="3" t="s">
        <v>35</v>
      </c>
      <c r="F121" s="3" t="s">
        <v>80</v>
      </c>
      <c r="G121" s="3" t="s">
        <v>28</v>
      </c>
      <c r="H121" s="3" t="s">
        <v>29</v>
      </c>
      <c r="I121" s="4">
        <v>44474</v>
      </c>
      <c r="J121" s="3">
        <v>5</v>
      </c>
      <c r="K121" s="5">
        <v>42444.87</v>
      </c>
      <c r="L121" s="5">
        <v>1907.95</v>
      </c>
      <c r="M121" s="3" t="s">
        <v>32</v>
      </c>
      <c r="N121" s="3">
        <v>3</v>
      </c>
      <c r="O121" s="3">
        <v>3</v>
      </c>
      <c r="P121" s="3">
        <v>4</v>
      </c>
      <c r="Q121" s="3">
        <v>10</v>
      </c>
      <c r="R121" s="3" t="s">
        <v>32</v>
      </c>
      <c r="S121" s="3">
        <v>13</v>
      </c>
      <c r="T121" s="3" t="s">
        <v>38</v>
      </c>
      <c r="U121" s="3">
        <v>18</v>
      </c>
      <c r="V121" s="3" t="s">
        <v>32</v>
      </c>
      <c r="W121" s="4"/>
      <c r="X121" s="4" t="str">
        <f t="shared" si="1"/>
        <v>Active</v>
      </c>
      <c r="Y121" s="3" t="s">
        <v>53</v>
      </c>
    </row>
    <row r="122" spans="1:25">
      <c r="A122" s="2">
        <v>10121</v>
      </c>
      <c r="B122" s="3" t="s">
        <v>203</v>
      </c>
      <c r="C122" s="3" t="s">
        <v>25</v>
      </c>
      <c r="D122" s="3">
        <v>26</v>
      </c>
      <c r="E122" s="3" t="s">
        <v>48</v>
      </c>
      <c r="F122" s="3" t="s">
        <v>125</v>
      </c>
      <c r="G122" s="3" t="s">
        <v>67</v>
      </c>
      <c r="H122" s="3" t="s">
        <v>57</v>
      </c>
      <c r="I122" s="4">
        <v>43268</v>
      </c>
      <c r="J122" s="3">
        <v>8</v>
      </c>
      <c r="K122" s="5">
        <v>65398.58</v>
      </c>
      <c r="L122" s="5">
        <v>1785.05</v>
      </c>
      <c r="M122" s="3" t="s">
        <v>30</v>
      </c>
      <c r="N122" s="3">
        <v>2</v>
      </c>
      <c r="O122" s="3">
        <v>1</v>
      </c>
      <c r="P122" s="3">
        <v>4</v>
      </c>
      <c r="Q122" s="3">
        <v>55</v>
      </c>
      <c r="R122" s="3" t="s">
        <v>32</v>
      </c>
      <c r="S122" s="3">
        <v>11</v>
      </c>
      <c r="T122" s="3" t="s">
        <v>31</v>
      </c>
      <c r="U122" s="3">
        <v>3</v>
      </c>
      <c r="V122" s="3" t="s">
        <v>32</v>
      </c>
      <c r="W122" s="4"/>
      <c r="X122" s="4" t="str">
        <f t="shared" si="1"/>
        <v>Active</v>
      </c>
      <c r="Y122" s="3" t="s">
        <v>75</v>
      </c>
    </row>
    <row r="123" spans="1:25">
      <c r="A123" s="2">
        <v>10122</v>
      </c>
      <c r="B123" s="3" t="s">
        <v>204</v>
      </c>
      <c r="C123" s="3" t="s">
        <v>25</v>
      </c>
      <c r="D123" s="3">
        <v>57</v>
      </c>
      <c r="E123" s="3" t="s">
        <v>73</v>
      </c>
      <c r="F123" s="3" t="s">
        <v>77</v>
      </c>
      <c r="G123" s="3" t="s">
        <v>67</v>
      </c>
      <c r="H123" s="3" t="s">
        <v>29</v>
      </c>
      <c r="I123" s="4">
        <v>42475</v>
      </c>
      <c r="J123" s="3">
        <v>10</v>
      </c>
      <c r="K123" s="5">
        <v>93958.7</v>
      </c>
      <c r="L123" s="5">
        <v>8762.24</v>
      </c>
      <c r="M123" s="3" t="s">
        <v>30</v>
      </c>
      <c r="N123" s="3">
        <v>3</v>
      </c>
      <c r="O123" s="3">
        <v>1</v>
      </c>
      <c r="P123" s="3">
        <v>2</v>
      </c>
      <c r="Q123" s="3">
        <v>75</v>
      </c>
      <c r="R123" s="3" t="s">
        <v>30</v>
      </c>
      <c r="S123" s="3">
        <v>27</v>
      </c>
      <c r="T123" s="3" t="s">
        <v>31</v>
      </c>
      <c r="U123" s="3">
        <v>12</v>
      </c>
      <c r="V123" s="3" t="s">
        <v>32</v>
      </c>
      <c r="W123" s="4"/>
      <c r="X123" s="4" t="str">
        <f t="shared" si="1"/>
        <v>Active</v>
      </c>
      <c r="Y123" s="3" t="s">
        <v>84</v>
      </c>
    </row>
    <row r="124" spans="1:25">
      <c r="A124" s="2">
        <v>10123</v>
      </c>
      <c r="B124" s="3" t="s">
        <v>188</v>
      </c>
      <c r="C124" s="3" t="s">
        <v>25</v>
      </c>
      <c r="D124" s="3">
        <v>57</v>
      </c>
      <c r="E124" s="3" t="s">
        <v>35</v>
      </c>
      <c r="F124" s="3" t="s">
        <v>90</v>
      </c>
      <c r="G124" s="3" t="s">
        <v>37</v>
      </c>
      <c r="H124" s="3" t="s">
        <v>45</v>
      </c>
      <c r="I124" s="4">
        <v>42896</v>
      </c>
      <c r="J124" s="3">
        <v>9</v>
      </c>
      <c r="K124" s="5">
        <v>54192.31</v>
      </c>
      <c r="L124" s="5">
        <v>6295.35</v>
      </c>
      <c r="M124" s="3" t="s">
        <v>32</v>
      </c>
      <c r="N124" s="3">
        <v>1</v>
      </c>
      <c r="O124" s="3">
        <v>5</v>
      </c>
      <c r="P124" s="3">
        <v>3</v>
      </c>
      <c r="Q124" s="3">
        <v>6</v>
      </c>
      <c r="R124" s="3" t="s">
        <v>30</v>
      </c>
      <c r="S124" s="3">
        <v>8</v>
      </c>
      <c r="T124" s="3" t="s">
        <v>52</v>
      </c>
      <c r="U124" s="3">
        <v>10</v>
      </c>
      <c r="V124" s="3" t="s">
        <v>32</v>
      </c>
      <c r="W124" s="4"/>
      <c r="X124" s="4" t="str">
        <f t="shared" si="1"/>
        <v>Active</v>
      </c>
      <c r="Y124" s="3" t="s">
        <v>81</v>
      </c>
    </row>
    <row r="125" spans="1:25">
      <c r="A125" s="2">
        <v>10124</v>
      </c>
      <c r="B125" s="3" t="s">
        <v>205</v>
      </c>
      <c r="C125" s="3" t="s">
        <v>41</v>
      </c>
      <c r="D125" s="3">
        <v>38</v>
      </c>
      <c r="E125" s="3" t="s">
        <v>35</v>
      </c>
      <c r="F125" s="3" t="s">
        <v>90</v>
      </c>
      <c r="G125" s="3" t="s">
        <v>28</v>
      </c>
      <c r="H125" s="3" t="s">
        <v>57</v>
      </c>
      <c r="I125" s="4">
        <v>44709</v>
      </c>
      <c r="J125" s="3">
        <v>4</v>
      </c>
      <c r="K125" s="5">
        <v>82057.14</v>
      </c>
      <c r="L125" s="5">
        <v>6247.85</v>
      </c>
      <c r="M125" s="3" t="s">
        <v>32</v>
      </c>
      <c r="N125" s="3">
        <v>4</v>
      </c>
      <c r="O125" s="3">
        <v>1</v>
      </c>
      <c r="P125" s="3">
        <v>5</v>
      </c>
      <c r="Q125" s="3">
        <v>37</v>
      </c>
      <c r="R125" s="3" t="s">
        <v>32</v>
      </c>
      <c r="S125" s="3">
        <v>23</v>
      </c>
      <c r="T125" s="3" t="s">
        <v>52</v>
      </c>
      <c r="U125" s="3">
        <v>2</v>
      </c>
      <c r="V125" s="3" t="s">
        <v>32</v>
      </c>
      <c r="W125" s="4"/>
      <c r="X125" s="4" t="str">
        <f t="shared" si="1"/>
        <v>Active</v>
      </c>
      <c r="Y125" s="3" t="s">
        <v>33</v>
      </c>
    </row>
    <row r="126" spans="1:25">
      <c r="A126" s="2">
        <v>10125</v>
      </c>
      <c r="B126" s="3" t="s">
        <v>206</v>
      </c>
      <c r="C126" s="3" t="s">
        <v>25</v>
      </c>
      <c r="D126" s="3">
        <v>44</v>
      </c>
      <c r="E126" s="3" t="s">
        <v>42</v>
      </c>
      <c r="F126" s="3" t="s">
        <v>176</v>
      </c>
      <c r="G126" s="3" t="s">
        <v>67</v>
      </c>
      <c r="H126" s="3" t="s">
        <v>57</v>
      </c>
      <c r="I126" s="4">
        <v>43822</v>
      </c>
      <c r="J126" s="3">
        <v>7</v>
      </c>
      <c r="K126" s="5">
        <v>54795.46</v>
      </c>
      <c r="L126" s="5">
        <v>3017.57</v>
      </c>
      <c r="M126" s="3" t="s">
        <v>30</v>
      </c>
      <c r="N126" s="3">
        <v>2</v>
      </c>
      <c r="O126" s="3">
        <v>4</v>
      </c>
      <c r="P126" s="3">
        <v>4</v>
      </c>
      <c r="Q126" s="3">
        <v>71</v>
      </c>
      <c r="R126" s="3" t="s">
        <v>32</v>
      </c>
      <c r="S126" s="3">
        <v>14</v>
      </c>
      <c r="T126" s="3" t="s">
        <v>52</v>
      </c>
      <c r="U126" s="3">
        <v>0</v>
      </c>
      <c r="V126" s="3" t="s">
        <v>30</v>
      </c>
      <c r="W126" s="4">
        <v>45697</v>
      </c>
      <c r="X126" s="4" t="str">
        <f t="shared" si="1"/>
        <v>Exited</v>
      </c>
      <c r="Y126" s="3" t="s">
        <v>65</v>
      </c>
    </row>
    <row r="127" spans="1:25">
      <c r="A127" s="2">
        <v>10126</v>
      </c>
      <c r="B127" s="3" t="s">
        <v>207</v>
      </c>
      <c r="C127" s="3" t="s">
        <v>41</v>
      </c>
      <c r="D127" s="3">
        <v>39</v>
      </c>
      <c r="E127" s="3" t="s">
        <v>73</v>
      </c>
      <c r="F127" s="3" t="s">
        <v>99</v>
      </c>
      <c r="G127" s="3" t="s">
        <v>37</v>
      </c>
      <c r="H127" s="3" t="s">
        <v>45</v>
      </c>
      <c r="I127" s="4">
        <v>44762</v>
      </c>
      <c r="J127" s="3">
        <v>4</v>
      </c>
      <c r="K127" s="5">
        <v>94312.45</v>
      </c>
      <c r="L127" s="5">
        <v>13879.26</v>
      </c>
      <c r="M127" s="3" t="s">
        <v>32</v>
      </c>
      <c r="N127" s="3">
        <v>2</v>
      </c>
      <c r="O127" s="3">
        <v>4</v>
      </c>
      <c r="P127" s="3">
        <v>2</v>
      </c>
      <c r="Q127" s="3">
        <v>17</v>
      </c>
      <c r="R127" s="3" t="s">
        <v>32</v>
      </c>
      <c r="S127" s="3">
        <v>9</v>
      </c>
      <c r="T127" s="3" t="s">
        <v>38</v>
      </c>
      <c r="U127" s="3">
        <v>4</v>
      </c>
      <c r="V127" s="3" t="s">
        <v>30</v>
      </c>
      <c r="W127" s="4">
        <v>45452</v>
      </c>
      <c r="X127" s="4" t="str">
        <f t="shared" si="1"/>
        <v>Exited</v>
      </c>
      <c r="Y127" s="3" t="s">
        <v>84</v>
      </c>
    </row>
    <row r="128" spans="1:25">
      <c r="A128" s="2">
        <v>10127</v>
      </c>
      <c r="B128" s="3" t="s">
        <v>208</v>
      </c>
      <c r="C128" s="3" t="s">
        <v>41</v>
      </c>
      <c r="D128" s="3">
        <v>25</v>
      </c>
      <c r="E128" s="3" t="s">
        <v>102</v>
      </c>
      <c r="F128" s="3" t="s">
        <v>116</v>
      </c>
      <c r="G128" s="3" t="s">
        <v>78</v>
      </c>
      <c r="H128" s="3" t="s">
        <v>45</v>
      </c>
      <c r="I128" s="4">
        <v>45299</v>
      </c>
      <c r="J128" s="3">
        <v>2</v>
      </c>
      <c r="K128" s="5">
        <v>57311.11</v>
      </c>
      <c r="L128" s="5">
        <v>5740.68</v>
      </c>
      <c r="M128" s="3" t="s">
        <v>32</v>
      </c>
      <c r="N128" s="3">
        <v>2</v>
      </c>
      <c r="O128" s="3">
        <v>3</v>
      </c>
      <c r="P128" s="3">
        <v>1</v>
      </c>
      <c r="Q128" s="3">
        <v>50</v>
      </c>
      <c r="R128" s="3" t="s">
        <v>32</v>
      </c>
      <c r="S128" s="3">
        <v>20</v>
      </c>
      <c r="T128" s="3" t="s">
        <v>38</v>
      </c>
      <c r="U128" s="3">
        <v>10</v>
      </c>
      <c r="V128" s="3" t="s">
        <v>32</v>
      </c>
      <c r="W128" s="4"/>
      <c r="X128" s="4" t="str">
        <f t="shared" si="1"/>
        <v>Active</v>
      </c>
      <c r="Y128" s="3" t="s">
        <v>33</v>
      </c>
    </row>
    <row r="129" spans="1:25">
      <c r="A129" s="2">
        <v>10128</v>
      </c>
      <c r="B129" s="3" t="s">
        <v>209</v>
      </c>
      <c r="C129" s="3" t="s">
        <v>25</v>
      </c>
      <c r="D129" s="3">
        <v>59</v>
      </c>
      <c r="E129" s="3" t="s">
        <v>48</v>
      </c>
      <c r="F129" s="3" t="s">
        <v>111</v>
      </c>
      <c r="G129" s="3" t="s">
        <v>28</v>
      </c>
      <c r="H129" s="3" t="s">
        <v>29</v>
      </c>
      <c r="I129" s="4">
        <v>43441</v>
      </c>
      <c r="J129" s="3">
        <v>8</v>
      </c>
      <c r="K129" s="5">
        <v>88279.89</v>
      </c>
      <c r="L129" s="5">
        <v>5110.37</v>
      </c>
      <c r="M129" s="3" t="s">
        <v>32</v>
      </c>
      <c r="N129" s="3">
        <v>4</v>
      </c>
      <c r="O129" s="3">
        <v>5</v>
      </c>
      <c r="P129" s="3">
        <v>2</v>
      </c>
      <c r="Q129" s="3">
        <v>41</v>
      </c>
      <c r="R129" s="3" t="s">
        <v>32</v>
      </c>
      <c r="S129" s="3">
        <v>27</v>
      </c>
      <c r="T129" s="3" t="s">
        <v>38</v>
      </c>
      <c r="U129" s="3">
        <v>11</v>
      </c>
      <c r="V129" s="3" t="s">
        <v>30</v>
      </c>
      <c r="W129" s="4">
        <v>45716</v>
      </c>
      <c r="X129" s="4" t="str">
        <f t="shared" si="1"/>
        <v>Exited</v>
      </c>
      <c r="Y129" s="3" t="s">
        <v>68</v>
      </c>
    </row>
    <row r="130" spans="1:25">
      <c r="A130" s="2">
        <v>10129</v>
      </c>
      <c r="B130" s="3" t="s">
        <v>210</v>
      </c>
      <c r="C130" s="3" t="s">
        <v>25</v>
      </c>
      <c r="D130" s="3">
        <v>50</v>
      </c>
      <c r="E130" s="3" t="s">
        <v>48</v>
      </c>
      <c r="F130" s="3" t="s">
        <v>111</v>
      </c>
      <c r="G130" s="3" t="s">
        <v>28</v>
      </c>
      <c r="H130" s="3" t="s">
        <v>57</v>
      </c>
      <c r="I130" s="4">
        <v>40745</v>
      </c>
      <c r="J130" s="3">
        <v>15</v>
      </c>
      <c r="K130" s="5">
        <v>80043.11</v>
      </c>
      <c r="L130" s="5">
        <v>9880.15</v>
      </c>
      <c r="M130" s="3" t="s">
        <v>32</v>
      </c>
      <c r="N130" s="3">
        <v>4</v>
      </c>
      <c r="O130" s="3">
        <v>2</v>
      </c>
      <c r="P130" s="3">
        <v>3</v>
      </c>
      <c r="Q130" s="3">
        <v>30</v>
      </c>
      <c r="R130" s="3" t="s">
        <v>32</v>
      </c>
      <c r="S130" s="3">
        <v>5</v>
      </c>
      <c r="T130" s="3" t="s">
        <v>31</v>
      </c>
      <c r="U130" s="3">
        <v>13</v>
      </c>
      <c r="V130" s="3" t="s">
        <v>32</v>
      </c>
      <c r="W130" s="4"/>
      <c r="X130" s="4" t="str">
        <f t="shared" ref="X130:X193" si="2">IF(W130="","Active","Exited")</f>
        <v>Active</v>
      </c>
      <c r="Y130" s="3" t="s">
        <v>65</v>
      </c>
    </row>
    <row r="131" spans="1:25">
      <c r="A131" s="2">
        <v>10130</v>
      </c>
      <c r="B131" s="3" t="s">
        <v>211</v>
      </c>
      <c r="C131" s="3" t="s">
        <v>41</v>
      </c>
      <c r="D131" s="3">
        <v>58</v>
      </c>
      <c r="E131" s="3" t="s">
        <v>73</v>
      </c>
      <c r="F131" s="3" t="s">
        <v>99</v>
      </c>
      <c r="G131" s="3" t="s">
        <v>37</v>
      </c>
      <c r="H131" s="3" t="s">
        <v>57</v>
      </c>
      <c r="I131" s="4">
        <v>44577</v>
      </c>
      <c r="J131" s="3">
        <v>4</v>
      </c>
      <c r="K131" s="5">
        <v>75629.2</v>
      </c>
      <c r="L131" s="5">
        <v>10502.79</v>
      </c>
      <c r="M131" s="3" t="s">
        <v>30</v>
      </c>
      <c r="N131" s="3">
        <v>2</v>
      </c>
      <c r="O131" s="3">
        <v>3</v>
      </c>
      <c r="P131" s="3">
        <v>2</v>
      </c>
      <c r="Q131" s="3">
        <v>78</v>
      </c>
      <c r="R131" s="3" t="s">
        <v>30</v>
      </c>
      <c r="S131" s="3">
        <v>21</v>
      </c>
      <c r="T131" s="3" t="s">
        <v>31</v>
      </c>
      <c r="U131" s="3">
        <v>20</v>
      </c>
      <c r="V131" s="3" t="s">
        <v>32</v>
      </c>
      <c r="W131" s="4"/>
      <c r="X131" s="4" t="str">
        <f t="shared" si="2"/>
        <v>Active</v>
      </c>
      <c r="Y131" s="3" t="s">
        <v>62</v>
      </c>
    </row>
    <row r="132" spans="1:25">
      <c r="A132" s="2">
        <v>10131</v>
      </c>
      <c r="B132" s="3" t="s">
        <v>212</v>
      </c>
      <c r="C132" s="3" t="s">
        <v>41</v>
      </c>
      <c r="D132" s="3">
        <v>21</v>
      </c>
      <c r="E132" s="3" t="s">
        <v>42</v>
      </c>
      <c r="F132" s="3" t="s">
        <v>43</v>
      </c>
      <c r="G132" s="3" t="s">
        <v>28</v>
      </c>
      <c r="H132" s="3" t="s">
        <v>45</v>
      </c>
      <c r="I132" s="4">
        <v>44428</v>
      </c>
      <c r="J132" s="3">
        <v>5</v>
      </c>
      <c r="K132" s="5">
        <v>65689.64</v>
      </c>
      <c r="L132" s="5">
        <v>7186.21</v>
      </c>
      <c r="M132" s="3" t="s">
        <v>30</v>
      </c>
      <c r="N132" s="3">
        <v>3</v>
      </c>
      <c r="O132" s="3">
        <v>4</v>
      </c>
      <c r="P132" s="3">
        <v>4</v>
      </c>
      <c r="Q132" s="3">
        <v>75</v>
      </c>
      <c r="R132" s="3" t="s">
        <v>32</v>
      </c>
      <c r="S132" s="3">
        <v>5</v>
      </c>
      <c r="T132" s="3" t="s">
        <v>38</v>
      </c>
      <c r="U132" s="3">
        <v>0</v>
      </c>
      <c r="V132" s="3" t="s">
        <v>32</v>
      </c>
      <c r="W132" s="4"/>
      <c r="X132" s="4" t="str">
        <f t="shared" si="2"/>
        <v>Active</v>
      </c>
      <c r="Y132" s="3" t="s">
        <v>84</v>
      </c>
    </row>
    <row r="133" spans="1:25">
      <c r="A133" s="2">
        <v>10132</v>
      </c>
      <c r="B133" s="3" t="s">
        <v>213</v>
      </c>
      <c r="C133" s="3" t="s">
        <v>41</v>
      </c>
      <c r="D133" s="3">
        <v>30</v>
      </c>
      <c r="E133" s="3" t="s">
        <v>102</v>
      </c>
      <c r="F133" s="3" t="s">
        <v>116</v>
      </c>
      <c r="G133" s="3" t="s">
        <v>28</v>
      </c>
      <c r="H133" s="3" t="s">
        <v>29</v>
      </c>
      <c r="I133" s="4">
        <v>44447</v>
      </c>
      <c r="J133" s="3">
        <v>5</v>
      </c>
      <c r="K133" s="5">
        <v>56731.67</v>
      </c>
      <c r="L133" s="5">
        <v>4646.3900000000003</v>
      </c>
      <c r="M133" s="3" t="s">
        <v>32</v>
      </c>
      <c r="N133" s="3">
        <v>4</v>
      </c>
      <c r="O133" s="3">
        <v>3</v>
      </c>
      <c r="P133" s="3">
        <v>1</v>
      </c>
      <c r="Q133" s="3">
        <v>38</v>
      </c>
      <c r="R133" s="3" t="s">
        <v>30</v>
      </c>
      <c r="S133" s="3">
        <v>23</v>
      </c>
      <c r="T133" s="3" t="s">
        <v>52</v>
      </c>
      <c r="U133" s="3">
        <v>0</v>
      </c>
      <c r="V133" s="3" t="s">
        <v>32</v>
      </c>
      <c r="W133" s="4"/>
      <c r="X133" s="4" t="str">
        <f t="shared" si="2"/>
        <v>Active</v>
      </c>
      <c r="Y133" s="3" t="s">
        <v>132</v>
      </c>
    </row>
    <row r="134" spans="1:25">
      <c r="A134" s="2">
        <v>10133</v>
      </c>
      <c r="B134" s="3" t="s">
        <v>214</v>
      </c>
      <c r="C134" s="3" t="s">
        <v>25</v>
      </c>
      <c r="D134" s="3">
        <v>36</v>
      </c>
      <c r="E134" s="3" t="s">
        <v>60</v>
      </c>
      <c r="F134" s="3" t="s">
        <v>64</v>
      </c>
      <c r="G134" s="3" t="s">
        <v>37</v>
      </c>
      <c r="H134" s="3" t="s">
        <v>57</v>
      </c>
      <c r="I134" s="4">
        <v>44765</v>
      </c>
      <c r="J134" s="3">
        <v>4</v>
      </c>
      <c r="K134" s="5">
        <v>76977.7</v>
      </c>
      <c r="L134" s="5">
        <v>6163.38</v>
      </c>
      <c r="M134" s="3" t="s">
        <v>32</v>
      </c>
      <c r="N134" s="3">
        <v>2</v>
      </c>
      <c r="O134" s="3">
        <v>2</v>
      </c>
      <c r="P134" s="3">
        <v>4</v>
      </c>
      <c r="Q134" s="3">
        <v>50</v>
      </c>
      <c r="R134" s="3" t="s">
        <v>30</v>
      </c>
      <c r="S134" s="3">
        <v>20</v>
      </c>
      <c r="T134" s="3" t="s">
        <v>52</v>
      </c>
      <c r="U134" s="3">
        <v>14</v>
      </c>
      <c r="V134" s="3" t="s">
        <v>32</v>
      </c>
      <c r="W134" s="4"/>
      <c r="X134" s="4" t="str">
        <f t="shared" si="2"/>
        <v>Active</v>
      </c>
      <c r="Y134" s="3" t="s">
        <v>33</v>
      </c>
    </row>
    <row r="135" spans="1:25">
      <c r="A135" s="2">
        <v>10134</v>
      </c>
      <c r="B135" s="3" t="s">
        <v>215</v>
      </c>
      <c r="C135" s="3" t="s">
        <v>25</v>
      </c>
      <c r="D135" s="3">
        <v>38</v>
      </c>
      <c r="E135" s="3" t="s">
        <v>35</v>
      </c>
      <c r="F135" s="3" t="s">
        <v>36</v>
      </c>
      <c r="G135" s="3" t="s">
        <v>37</v>
      </c>
      <c r="H135" s="3" t="s">
        <v>45</v>
      </c>
      <c r="I135" s="4">
        <v>41710</v>
      </c>
      <c r="J135" s="3">
        <v>12</v>
      </c>
      <c r="K135" s="5">
        <v>53289.65</v>
      </c>
      <c r="L135" s="5">
        <v>2431.06</v>
      </c>
      <c r="M135" s="3" t="s">
        <v>30</v>
      </c>
      <c r="N135" s="3">
        <v>4</v>
      </c>
      <c r="O135" s="3">
        <v>5</v>
      </c>
      <c r="P135" s="3">
        <v>3</v>
      </c>
      <c r="Q135" s="3">
        <v>76</v>
      </c>
      <c r="R135" s="3" t="s">
        <v>32</v>
      </c>
      <c r="S135" s="3">
        <v>13</v>
      </c>
      <c r="T135" s="3" t="s">
        <v>31</v>
      </c>
      <c r="U135" s="3">
        <v>3</v>
      </c>
      <c r="V135" s="3" t="s">
        <v>32</v>
      </c>
      <c r="W135" s="4"/>
      <c r="X135" s="4" t="str">
        <f t="shared" si="2"/>
        <v>Active</v>
      </c>
      <c r="Y135" s="3" t="s">
        <v>55</v>
      </c>
    </row>
    <row r="136" spans="1:25">
      <c r="A136" s="2">
        <v>10135</v>
      </c>
      <c r="B136" s="3" t="s">
        <v>216</v>
      </c>
      <c r="C136" s="3" t="s">
        <v>41</v>
      </c>
      <c r="D136" s="3">
        <v>40</v>
      </c>
      <c r="E136" s="3" t="s">
        <v>60</v>
      </c>
      <c r="F136" s="3" t="s">
        <v>61</v>
      </c>
      <c r="G136" s="3" t="s">
        <v>37</v>
      </c>
      <c r="H136" s="3" t="s">
        <v>57</v>
      </c>
      <c r="I136" s="4">
        <v>41144</v>
      </c>
      <c r="J136" s="3">
        <v>14</v>
      </c>
      <c r="K136" s="5">
        <v>62892.95</v>
      </c>
      <c r="L136" s="5">
        <v>2214.04</v>
      </c>
      <c r="M136" s="3" t="s">
        <v>32</v>
      </c>
      <c r="N136" s="3">
        <v>2</v>
      </c>
      <c r="O136" s="3">
        <v>5</v>
      </c>
      <c r="P136" s="3">
        <v>4</v>
      </c>
      <c r="Q136" s="3">
        <v>53</v>
      </c>
      <c r="R136" s="3" t="s">
        <v>32</v>
      </c>
      <c r="S136" s="3">
        <v>19</v>
      </c>
      <c r="T136" s="3" t="s">
        <v>38</v>
      </c>
      <c r="U136" s="3">
        <v>13</v>
      </c>
      <c r="V136" s="3" t="s">
        <v>32</v>
      </c>
      <c r="W136" s="4"/>
      <c r="X136" s="4" t="str">
        <f t="shared" si="2"/>
        <v>Active</v>
      </c>
      <c r="Y136" s="3" t="s">
        <v>132</v>
      </c>
    </row>
    <row r="137" spans="1:25">
      <c r="A137" s="2">
        <v>10136</v>
      </c>
      <c r="B137" s="3" t="s">
        <v>217</v>
      </c>
      <c r="C137" s="3" t="s">
        <v>25</v>
      </c>
      <c r="D137" s="3">
        <v>52</v>
      </c>
      <c r="E137" s="3" t="s">
        <v>102</v>
      </c>
      <c r="F137" s="3" t="s">
        <v>165</v>
      </c>
      <c r="G137" s="3" t="s">
        <v>28</v>
      </c>
      <c r="H137" s="3" t="s">
        <v>57</v>
      </c>
      <c r="I137" s="4">
        <v>45253</v>
      </c>
      <c r="J137" s="3">
        <v>3</v>
      </c>
      <c r="K137" s="5">
        <v>37412.51</v>
      </c>
      <c r="L137" s="5">
        <v>2494.48</v>
      </c>
      <c r="M137" s="3" t="s">
        <v>30</v>
      </c>
      <c r="N137" s="3">
        <v>2</v>
      </c>
      <c r="O137" s="3">
        <v>2</v>
      </c>
      <c r="P137" s="3">
        <v>4</v>
      </c>
      <c r="Q137" s="3">
        <v>71</v>
      </c>
      <c r="R137" s="3" t="s">
        <v>32</v>
      </c>
      <c r="S137" s="3">
        <v>16</v>
      </c>
      <c r="T137" s="3" t="s">
        <v>38</v>
      </c>
      <c r="U137" s="3">
        <v>15</v>
      </c>
      <c r="V137" s="3" t="s">
        <v>32</v>
      </c>
      <c r="W137" s="4"/>
      <c r="X137" s="4" t="str">
        <f t="shared" si="2"/>
        <v>Active</v>
      </c>
      <c r="Y137" s="3" t="s">
        <v>55</v>
      </c>
    </row>
    <row r="138" spans="1:25">
      <c r="A138" s="2">
        <v>10137</v>
      </c>
      <c r="B138" s="3" t="s">
        <v>218</v>
      </c>
      <c r="C138" s="3" t="s">
        <v>41</v>
      </c>
      <c r="D138" s="3">
        <v>26</v>
      </c>
      <c r="E138" s="3" t="s">
        <v>60</v>
      </c>
      <c r="F138" s="3" t="s">
        <v>61</v>
      </c>
      <c r="G138" s="3" t="s">
        <v>37</v>
      </c>
      <c r="H138" s="3" t="s">
        <v>29</v>
      </c>
      <c r="I138" s="4">
        <v>42571</v>
      </c>
      <c r="J138" s="3">
        <v>10</v>
      </c>
      <c r="K138" s="5">
        <v>47452.13</v>
      </c>
      <c r="L138" s="5">
        <v>2336.0500000000002</v>
      </c>
      <c r="M138" s="3" t="s">
        <v>30</v>
      </c>
      <c r="N138" s="3">
        <v>4</v>
      </c>
      <c r="O138" s="3">
        <v>5</v>
      </c>
      <c r="P138" s="3">
        <v>4</v>
      </c>
      <c r="Q138" s="3">
        <v>70</v>
      </c>
      <c r="R138" s="3" t="s">
        <v>32</v>
      </c>
      <c r="S138" s="3">
        <v>19</v>
      </c>
      <c r="T138" s="3" t="s">
        <v>52</v>
      </c>
      <c r="U138" s="3">
        <v>8</v>
      </c>
      <c r="V138" s="3" t="s">
        <v>32</v>
      </c>
      <c r="W138" s="4"/>
      <c r="X138" s="4" t="str">
        <f t="shared" si="2"/>
        <v>Active</v>
      </c>
      <c r="Y138" s="3" t="s">
        <v>55</v>
      </c>
    </row>
    <row r="139" spans="1:25">
      <c r="A139" s="2">
        <v>10138</v>
      </c>
      <c r="B139" s="3" t="s">
        <v>219</v>
      </c>
      <c r="C139" s="3" t="s">
        <v>41</v>
      </c>
      <c r="D139" s="3">
        <v>23</v>
      </c>
      <c r="E139" s="3" t="s">
        <v>35</v>
      </c>
      <c r="F139" s="3" t="s">
        <v>90</v>
      </c>
      <c r="G139" s="3" t="s">
        <v>37</v>
      </c>
      <c r="H139" s="3" t="s">
        <v>57</v>
      </c>
      <c r="I139" s="4">
        <v>41017</v>
      </c>
      <c r="J139" s="3">
        <v>14</v>
      </c>
      <c r="K139" s="5">
        <v>71799.429999999993</v>
      </c>
      <c r="L139" s="5">
        <v>7537.31</v>
      </c>
      <c r="M139" s="3" t="s">
        <v>30</v>
      </c>
      <c r="N139" s="3">
        <v>1</v>
      </c>
      <c r="O139" s="3">
        <v>4</v>
      </c>
      <c r="P139" s="3">
        <v>3</v>
      </c>
      <c r="Q139" s="3">
        <v>44</v>
      </c>
      <c r="R139" s="3" t="s">
        <v>32</v>
      </c>
      <c r="S139" s="3">
        <v>3</v>
      </c>
      <c r="T139" s="3" t="s">
        <v>38</v>
      </c>
      <c r="U139" s="3">
        <v>3</v>
      </c>
      <c r="V139" s="3" t="s">
        <v>32</v>
      </c>
      <c r="W139" s="4"/>
      <c r="X139" s="4" t="str">
        <f t="shared" si="2"/>
        <v>Active</v>
      </c>
      <c r="Y139" s="3" t="s">
        <v>68</v>
      </c>
    </row>
    <row r="140" spans="1:25">
      <c r="A140" s="2">
        <v>10139</v>
      </c>
      <c r="B140" s="3" t="s">
        <v>220</v>
      </c>
      <c r="C140" s="3" t="s">
        <v>25</v>
      </c>
      <c r="D140" s="3">
        <v>43</v>
      </c>
      <c r="E140" s="3" t="s">
        <v>35</v>
      </c>
      <c r="F140" s="3" t="s">
        <v>90</v>
      </c>
      <c r="G140" s="3" t="s">
        <v>28</v>
      </c>
      <c r="H140" s="3" t="s">
        <v>29</v>
      </c>
      <c r="I140" s="4">
        <v>41871</v>
      </c>
      <c r="J140" s="3">
        <v>12</v>
      </c>
      <c r="K140" s="5">
        <v>75676.490000000005</v>
      </c>
      <c r="L140" s="5">
        <v>9437.41</v>
      </c>
      <c r="M140" s="3" t="s">
        <v>32</v>
      </c>
      <c r="N140" s="3">
        <v>5</v>
      </c>
      <c r="O140" s="3">
        <v>3</v>
      </c>
      <c r="P140" s="3">
        <v>5</v>
      </c>
      <c r="Q140" s="3">
        <v>68</v>
      </c>
      <c r="R140" s="3" t="s">
        <v>30</v>
      </c>
      <c r="S140" s="3">
        <v>23</v>
      </c>
      <c r="T140" s="3" t="s">
        <v>38</v>
      </c>
      <c r="U140" s="3">
        <v>9</v>
      </c>
      <c r="V140" s="3" t="s">
        <v>32</v>
      </c>
      <c r="W140" s="4"/>
      <c r="X140" s="4" t="str">
        <f t="shared" si="2"/>
        <v>Active</v>
      </c>
      <c r="Y140" s="3" t="s">
        <v>55</v>
      </c>
    </row>
    <row r="141" spans="1:25">
      <c r="A141" s="2">
        <v>10140</v>
      </c>
      <c r="B141" s="3" t="s">
        <v>221</v>
      </c>
      <c r="C141" s="3" t="s">
        <v>25</v>
      </c>
      <c r="D141" s="3">
        <v>47</v>
      </c>
      <c r="E141" s="3" t="s">
        <v>42</v>
      </c>
      <c r="F141" s="3" t="s">
        <v>43</v>
      </c>
      <c r="G141" s="3" t="s">
        <v>44</v>
      </c>
      <c r="H141" s="3" t="s">
        <v>29</v>
      </c>
      <c r="I141" s="4">
        <v>41266</v>
      </c>
      <c r="J141" s="3">
        <v>14</v>
      </c>
      <c r="K141" s="5">
        <v>48732.25</v>
      </c>
      <c r="L141" s="5">
        <v>5481.47</v>
      </c>
      <c r="M141" s="3" t="s">
        <v>32</v>
      </c>
      <c r="N141" s="3">
        <v>4</v>
      </c>
      <c r="O141" s="3">
        <v>4</v>
      </c>
      <c r="P141" s="3">
        <v>2</v>
      </c>
      <c r="Q141" s="3">
        <v>73</v>
      </c>
      <c r="R141" s="3" t="s">
        <v>32</v>
      </c>
      <c r="S141" s="3">
        <v>21</v>
      </c>
      <c r="T141" s="3" t="s">
        <v>38</v>
      </c>
      <c r="U141" s="3">
        <v>12</v>
      </c>
      <c r="V141" s="3" t="s">
        <v>32</v>
      </c>
      <c r="W141" s="4"/>
      <c r="X141" s="4" t="str">
        <f t="shared" si="2"/>
        <v>Active</v>
      </c>
      <c r="Y141" s="3" t="s">
        <v>132</v>
      </c>
    </row>
    <row r="142" spans="1:25">
      <c r="A142" s="2">
        <v>10141</v>
      </c>
      <c r="B142" s="3" t="s">
        <v>222</v>
      </c>
      <c r="C142" s="3" t="s">
        <v>25</v>
      </c>
      <c r="D142" s="3">
        <v>38</v>
      </c>
      <c r="E142" s="3" t="s">
        <v>48</v>
      </c>
      <c r="F142" s="3" t="s">
        <v>49</v>
      </c>
      <c r="G142" s="3" t="s">
        <v>28</v>
      </c>
      <c r="H142" s="3" t="s">
        <v>57</v>
      </c>
      <c r="I142" s="4">
        <v>42860</v>
      </c>
      <c r="J142" s="3">
        <v>9</v>
      </c>
      <c r="K142" s="5">
        <v>67007.55</v>
      </c>
      <c r="L142" s="5">
        <v>8909.19</v>
      </c>
      <c r="M142" s="3" t="s">
        <v>32</v>
      </c>
      <c r="N142" s="3">
        <v>1</v>
      </c>
      <c r="O142" s="3">
        <v>4</v>
      </c>
      <c r="P142" s="3">
        <v>3</v>
      </c>
      <c r="Q142" s="3">
        <v>8</v>
      </c>
      <c r="R142" s="3" t="s">
        <v>32</v>
      </c>
      <c r="S142" s="3">
        <v>13</v>
      </c>
      <c r="T142" s="3" t="s">
        <v>52</v>
      </c>
      <c r="U142" s="3">
        <v>13</v>
      </c>
      <c r="V142" s="3" t="s">
        <v>32</v>
      </c>
      <c r="W142" s="4"/>
      <c r="X142" s="4" t="str">
        <f t="shared" si="2"/>
        <v>Active</v>
      </c>
      <c r="Y142" s="3" t="s">
        <v>71</v>
      </c>
    </row>
    <row r="143" spans="1:25">
      <c r="A143" s="2">
        <v>10142</v>
      </c>
      <c r="B143" s="3" t="s">
        <v>223</v>
      </c>
      <c r="C143" s="3" t="s">
        <v>41</v>
      </c>
      <c r="D143" s="3">
        <v>39</v>
      </c>
      <c r="E143" s="3" t="s">
        <v>102</v>
      </c>
      <c r="F143" s="3" t="s">
        <v>165</v>
      </c>
      <c r="G143" s="3" t="s">
        <v>37</v>
      </c>
      <c r="H143" s="3" t="s">
        <v>57</v>
      </c>
      <c r="I143" s="4">
        <v>42994</v>
      </c>
      <c r="J143" s="3">
        <v>9</v>
      </c>
      <c r="K143" s="5">
        <v>75236.960000000006</v>
      </c>
      <c r="L143" s="5">
        <v>8960.2000000000007</v>
      </c>
      <c r="M143" s="3" t="s">
        <v>30</v>
      </c>
      <c r="N143" s="3">
        <v>4</v>
      </c>
      <c r="O143" s="3">
        <v>1</v>
      </c>
      <c r="P143" s="3">
        <v>1</v>
      </c>
      <c r="Q143" s="3">
        <v>20</v>
      </c>
      <c r="R143" s="3" t="s">
        <v>32</v>
      </c>
      <c r="S143" s="3">
        <v>1</v>
      </c>
      <c r="T143" s="3" t="s">
        <v>38</v>
      </c>
      <c r="U143" s="3">
        <v>6</v>
      </c>
      <c r="V143" s="3" t="s">
        <v>32</v>
      </c>
      <c r="W143" s="4"/>
      <c r="X143" s="4" t="str">
        <f t="shared" si="2"/>
        <v>Active</v>
      </c>
      <c r="Y143" s="3" t="s">
        <v>75</v>
      </c>
    </row>
    <row r="144" spans="1:25">
      <c r="A144" s="2">
        <v>10143</v>
      </c>
      <c r="B144" s="3" t="s">
        <v>224</v>
      </c>
      <c r="C144" s="3" t="s">
        <v>25</v>
      </c>
      <c r="D144" s="3">
        <v>38</v>
      </c>
      <c r="E144" s="3" t="s">
        <v>42</v>
      </c>
      <c r="F144" s="3" t="s">
        <v>43</v>
      </c>
      <c r="G144" s="3" t="s">
        <v>28</v>
      </c>
      <c r="H144" s="3" t="s">
        <v>57</v>
      </c>
      <c r="I144" s="4">
        <v>45622</v>
      </c>
      <c r="J144" s="3">
        <v>2</v>
      </c>
      <c r="K144" s="5">
        <v>84709.01</v>
      </c>
      <c r="L144" s="5">
        <v>3516.97</v>
      </c>
      <c r="M144" s="3" t="s">
        <v>32</v>
      </c>
      <c r="N144" s="3">
        <v>3</v>
      </c>
      <c r="O144" s="3">
        <v>2</v>
      </c>
      <c r="P144" s="3">
        <v>4</v>
      </c>
      <c r="Q144" s="3">
        <v>11</v>
      </c>
      <c r="R144" s="3" t="s">
        <v>32</v>
      </c>
      <c r="S144" s="3">
        <v>1</v>
      </c>
      <c r="T144" s="3" t="s">
        <v>52</v>
      </c>
      <c r="U144" s="3">
        <v>15</v>
      </c>
      <c r="V144" s="3" t="s">
        <v>30</v>
      </c>
      <c r="W144" s="4">
        <v>45755</v>
      </c>
      <c r="X144" s="4" t="str">
        <f t="shared" si="2"/>
        <v>Exited</v>
      </c>
      <c r="Y144" s="3" t="s">
        <v>58</v>
      </c>
    </row>
    <row r="145" spans="1:25">
      <c r="A145" s="2">
        <v>10144</v>
      </c>
      <c r="B145" s="3" t="s">
        <v>225</v>
      </c>
      <c r="C145" s="3" t="s">
        <v>41</v>
      </c>
      <c r="D145" s="3">
        <v>42</v>
      </c>
      <c r="E145" s="3" t="s">
        <v>35</v>
      </c>
      <c r="F145" s="3" t="s">
        <v>36</v>
      </c>
      <c r="G145" s="3" t="s">
        <v>78</v>
      </c>
      <c r="H145" s="3" t="s">
        <v>57</v>
      </c>
      <c r="I145" s="4">
        <v>41261</v>
      </c>
      <c r="J145" s="3">
        <v>14</v>
      </c>
      <c r="K145" s="5">
        <v>58885.01</v>
      </c>
      <c r="L145" s="5">
        <v>2930.3</v>
      </c>
      <c r="M145" s="3" t="s">
        <v>30</v>
      </c>
      <c r="N145" s="3">
        <v>1</v>
      </c>
      <c r="O145" s="3">
        <v>1</v>
      </c>
      <c r="P145" s="3">
        <v>3</v>
      </c>
      <c r="Q145" s="3">
        <v>47</v>
      </c>
      <c r="R145" s="3" t="s">
        <v>32</v>
      </c>
      <c r="S145" s="3">
        <v>5</v>
      </c>
      <c r="T145" s="3" t="s">
        <v>38</v>
      </c>
      <c r="U145" s="3">
        <v>4</v>
      </c>
      <c r="V145" s="3" t="s">
        <v>32</v>
      </c>
      <c r="W145" s="4"/>
      <c r="X145" s="4" t="str">
        <f t="shared" si="2"/>
        <v>Active</v>
      </c>
      <c r="Y145" s="3" t="s">
        <v>132</v>
      </c>
    </row>
    <row r="146" spans="1:25">
      <c r="A146" s="2">
        <v>10145</v>
      </c>
      <c r="B146" s="3" t="s">
        <v>226</v>
      </c>
      <c r="C146" s="3" t="s">
        <v>25</v>
      </c>
      <c r="D146" s="3">
        <v>57</v>
      </c>
      <c r="E146" s="3" t="s">
        <v>42</v>
      </c>
      <c r="F146" s="3" t="s">
        <v>127</v>
      </c>
      <c r="G146" s="3" t="s">
        <v>28</v>
      </c>
      <c r="H146" s="3" t="s">
        <v>45</v>
      </c>
      <c r="I146" s="4">
        <v>41924</v>
      </c>
      <c r="J146" s="3">
        <v>12</v>
      </c>
      <c r="K146" s="5">
        <v>69544.399999999994</v>
      </c>
      <c r="L146" s="5">
        <v>2759.43</v>
      </c>
      <c r="M146" s="3" t="s">
        <v>32</v>
      </c>
      <c r="N146" s="3">
        <v>4</v>
      </c>
      <c r="O146" s="3">
        <v>2</v>
      </c>
      <c r="P146" s="3">
        <v>1</v>
      </c>
      <c r="Q146" s="3">
        <v>12</v>
      </c>
      <c r="R146" s="3" t="s">
        <v>30</v>
      </c>
      <c r="S146" s="3">
        <v>4</v>
      </c>
      <c r="T146" s="3" t="s">
        <v>31</v>
      </c>
      <c r="U146" s="3">
        <v>12</v>
      </c>
      <c r="V146" s="3" t="s">
        <v>32</v>
      </c>
      <c r="W146" s="4"/>
      <c r="X146" s="4" t="str">
        <f t="shared" si="2"/>
        <v>Active</v>
      </c>
      <c r="Y146" s="3" t="s">
        <v>33</v>
      </c>
    </row>
    <row r="147" spans="1:25">
      <c r="A147" s="2">
        <v>10146</v>
      </c>
      <c r="B147" s="3" t="s">
        <v>152</v>
      </c>
      <c r="C147" s="3" t="s">
        <v>41</v>
      </c>
      <c r="D147" s="3">
        <v>38</v>
      </c>
      <c r="E147" s="3" t="s">
        <v>48</v>
      </c>
      <c r="F147" s="3" t="s">
        <v>125</v>
      </c>
      <c r="G147" s="3" t="s">
        <v>28</v>
      </c>
      <c r="H147" s="3" t="s">
        <v>45</v>
      </c>
      <c r="I147" s="4">
        <v>45094</v>
      </c>
      <c r="J147" s="3">
        <v>3</v>
      </c>
      <c r="K147" s="5">
        <v>74664.88</v>
      </c>
      <c r="L147" s="5">
        <v>4258.8599999999997</v>
      </c>
      <c r="M147" s="3" t="s">
        <v>32</v>
      </c>
      <c r="N147" s="3">
        <v>1</v>
      </c>
      <c r="O147" s="3">
        <v>3</v>
      </c>
      <c r="P147" s="3">
        <v>2</v>
      </c>
      <c r="Q147" s="3">
        <v>66</v>
      </c>
      <c r="R147" s="3" t="s">
        <v>32</v>
      </c>
      <c r="S147" s="3">
        <v>7</v>
      </c>
      <c r="T147" s="3" t="s">
        <v>31</v>
      </c>
      <c r="U147" s="3">
        <v>12</v>
      </c>
      <c r="V147" s="3" t="s">
        <v>32</v>
      </c>
      <c r="W147" s="4"/>
      <c r="X147" s="4" t="str">
        <f t="shared" si="2"/>
        <v>Active</v>
      </c>
      <c r="Y147" s="3" t="s">
        <v>39</v>
      </c>
    </row>
    <row r="148" spans="1:25">
      <c r="A148" s="2">
        <v>10147</v>
      </c>
      <c r="B148" s="3" t="s">
        <v>227</v>
      </c>
      <c r="C148" s="3" t="s">
        <v>25</v>
      </c>
      <c r="D148" s="3">
        <v>28</v>
      </c>
      <c r="E148" s="3" t="s">
        <v>26</v>
      </c>
      <c r="F148" s="3" t="s">
        <v>113</v>
      </c>
      <c r="G148" s="3" t="s">
        <v>37</v>
      </c>
      <c r="H148" s="3" t="s">
        <v>29</v>
      </c>
      <c r="I148" s="4">
        <v>44506</v>
      </c>
      <c r="J148" s="3">
        <v>5</v>
      </c>
      <c r="K148" s="5">
        <v>102767.09</v>
      </c>
      <c r="L148" s="5">
        <v>2216.5500000000002</v>
      </c>
      <c r="M148" s="3" t="s">
        <v>32</v>
      </c>
      <c r="N148" s="3">
        <v>3</v>
      </c>
      <c r="O148" s="3">
        <v>2</v>
      </c>
      <c r="P148" s="3">
        <v>4</v>
      </c>
      <c r="Q148" s="3">
        <v>72</v>
      </c>
      <c r="R148" s="3" t="s">
        <v>32</v>
      </c>
      <c r="S148" s="3">
        <v>18</v>
      </c>
      <c r="T148" s="3" t="s">
        <v>31</v>
      </c>
      <c r="U148" s="3">
        <v>5</v>
      </c>
      <c r="V148" s="3" t="s">
        <v>32</v>
      </c>
      <c r="W148" s="4"/>
      <c r="X148" s="4" t="str">
        <f t="shared" si="2"/>
        <v>Active</v>
      </c>
      <c r="Y148" s="3" t="s">
        <v>62</v>
      </c>
    </row>
    <row r="149" spans="1:25">
      <c r="A149" s="2">
        <v>10148</v>
      </c>
      <c r="B149" s="3" t="s">
        <v>228</v>
      </c>
      <c r="C149" s="3" t="s">
        <v>25</v>
      </c>
      <c r="D149" s="3">
        <v>25</v>
      </c>
      <c r="E149" s="3" t="s">
        <v>42</v>
      </c>
      <c r="F149" s="3" t="s">
        <v>43</v>
      </c>
      <c r="G149" s="3" t="s">
        <v>28</v>
      </c>
      <c r="H149" s="3" t="s">
        <v>29</v>
      </c>
      <c r="I149" s="4">
        <v>43439</v>
      </c>
      <c r="J149" s="3">
        <v>8</v>
      </c>
      <c r="K149" s="5">
        <v>62863.58</v>
      </c>
      <c r="L149" s="5">
        <v>6394.12</v>
      </c>
      <c r="M149" s="3" t="s">
        <v>32</v>
      </c>
      <c r="N149" s="3">
        <v>4</v>
      </c>
      <c r="O149" s="3">
        <v>4</v>
      </c>
      <c r="P149" s="3">
        <v>4</v>
      </c>
      <c r="Q149" s="3">
        <v>10</v>
      </c>
      <c r="R149" s="3" t="s">
        <v>32</v>
      </c>
      <c r="S149" s="3">
        <v>18</v>
      </c>
      <c r="T149" s="3" t="s">
        <v>31</v>
      </c>
      <c r="U149" s="3">
        <v>4</v>
      </c>
      <c r="V149" s="3" t="s">
        <v>32</v>
      </c>
      <c r="W149" s="4"/>
      <c r="X149" s="4" t="str">
        <f t="shared" si="2"/>
        <v>Active</v>
      </c>
      <c r="Y149" s="3" t="s">
        <v>84</v>
      </c>
    </row>
    <row r="150" spans="1:25">
      <c r="A150" s="2">
        <v>10149</v>
      </c>
      <c r="B150" s="3" t="s">
        <v>229</v>
      </c>
      <c r="C150" s="3" t="s">
        <v>25</v>
      </c>
      <c r="D150" s="3">
        <v>34</v>
      </c>
      <c r="E150" s="3" t="s">
        <v>35</v>
      </c>
      <c r="F150" s="3" t="s">
        <v>80</v>
      </c>
      <c r="G150" s="3" t="s">
        <v>37</v>
      </c>
      <c r="H150" s="3" t="s">
        <v>57</v>
      </c>
      <c r="I150" s="4">
        <v>44983</v>
      </c>
      <c r="J150" s="3">
        <v>3</v>
      </c>
      <c r="K150" s="5">
        <v>66714.710000000006</v>
      </c>
      <c r="L150" s="5">
        <v>8572.07</v>
      </c>
      <c r="M150" s="3" t="s">
        <v>32</v>
      </c>
      <c r="N150" s="3">
        <v>1</v>
      </c>
      <c r="O150" s="3">
        <v>3</v>
      </c>
      <c r="P150" s="3">
        <v>4</v>
      </c>
      <c r="Q150" s="3">
        <v>30</v>
      </c>
      <c r="R150" s="3" t="s">
        <v>30</v>
      </c>
      <c r="S150" s="3">
        <v>3</v>
      </c>
      <c r="T150" s="3" t="s">
        <v>38</v>
      </c>
      <c r="U150" s="3">
        <v>3</v>
      </c>
      <c r="V150" s="3" t="s">
        <v>32</v>
      </c>
      <c r="W150" s="4"/>
      <c r="X150" s="4" t="str">
        <f t="shared" si="2"/>
        <v>Active</v>
      </c>
      <c r="Y150" s="3" t="s">
        <v>81</v>
      </c>
    </row>
    <row r="151" spans="1:25">
      <c r="A151" s="2">
        <v>10150</v>
      </c>
      <c r="B151" s="3" t="s">
        <v>203</v>
      </c>
      <c r="C151" s="3" t="s">
        <v>25</v>
      </c>
      <c r="D151" s="3">
        <v>32</v>
      </c>
      <c r="E151" s="3" t="s">
        <v>42</v>
      </c>
      <c r="F151" s="3" t="s">
        <v>176</v>
      </c>
      <c r="G151" s="3" t="s">
        <v>37</v>
      </c>
      <c r="H151" s="3" t="s">
        <v>45</v>
      </c>
      <c r="I151" s="4">
        <v>40271</v>
      </c>
      <c r="J151" s="3">
        <v>16</v>
      </c>
      <c r="K151" s="5">
        <v>44010.79</v>
      </c>
      <c r="L151" s="5">
        <v>6332.81</v>
      </c>
      <c r="M151" s="3" t="s">
        <v>32</v>
      </c>
      <c r="N151" s="3">
        <v>3</v>
      </c>
      <c r="O151" s="3">
        <v>2</v>
      </c>
      <c r="P151" s="3">
        <v>3</v>
      </c>
      <c r="Q151" s="3">
        <v>16</v>
      </c>
      <c r="R151" s="3" t="s">
        <v>32</v>
      </c>
      <c r="S151" s="3">
        <v>28</v>
      </c>
      <c r="T151" s="3" t="s">
        <v>38</v>
      </c>
      <c r="U151" s="3">
        <v>3</v>
      </c>
      <c r="V151" s="3" t="s">
        <v>32</v>
      </c>
      <c r="W151" s="4"/>
      <c r="X151" s="4" t="str">
        <f t="shared" si="2"/>
        <v>Active</v>
      </c>
      <c r="Y151" s="3" t="s">
        <v>39</v>
      </c>
    </row>
    <row r="152" spans="1:25">
      <c r="A152" s="2">
        <v>10151</v>
      </c>
      <c r="B152" s="3" t="s">
        <v>230</v>
      </c>
      <c r="C152" s="3" t="s">
        <v>41</v>
      </c>
      <c r="D152" s="3">
        <v>54</v>
      </c>
      <c r="E152" s="3" t="s">
        <v>42</v>
      </c>
      <c r="F152" s="3" t="s">
        <v>43</v>
      </c>
      <c r="G152" s="3" t="s">
        <v>37</v>
      </c>
      <c r="H152" s="3" t="s">
        <v>45</v>
      </c>
      <c r="I152" s="4">
        <v>45319</v>
      </c>
      <c r="J152" s="3">
        <v>2</v>
      </c>
      <c r="K152" s="5">
        <v>39238.85</v>
      </c>
      <c r="L152" s="5">
        <v>3106.76</v>
      </c>
      <c r="M152" s="3" t="s">
        <v>32</v>
      </c>
      <c r="N152" s="3">
        <v>4</v>
      </c>
      <c r="O152" s="3">
        <v>5</v>
      </c>
      <c r="P152" s="3">
        <v>2</v>
      </c>
      <c r="Q152" s="3">
        <v>47</v>
      </c>
      <c r="R152" s="3" t="s">
        <v>30</v>
      </c>
      <c r="S152" s="3">
        <v>25</v>
      </c>
      <c r="T152" s="3" t="s">
        <v>52</v>
      </c>
      <c r="U152" s="3">
        <v>18</v>
      </c>
      <c r="V152" s="3" t="s">
        <v>32</v>
      </c>
      <c r="W152" s="4"/>
      <c r="X152" s="4" t="str">
        <f t="shared" si="2"/>
        <v>Active</v>
      </c>
      <c r="Y152" s="3" t="s">
        <v>65</v>
      </c>
    </row>
    <row r="153" spans="1:25">
      <c r="A153" s="2">
        <v>10152</v>
      </c>
      <c r="B153" s="3" t="s">
        <v>231</v>
      </c>
      <c r="C153" s="3" t="s">
        <v>25</v>
      </c>
      <c r="D153" s="3">
        <v>23</v>
      </c>
      <c r="E153" s="3" t="s">
        <v>35</v>
      </c>
      <c r="F153" s="3" t="s">
        <v>36</v>
      </c>
      <c r="G153" s="3" t="s">
        <v>28</v>
      </c>
      <c r="H153" s="3" t="s">
        <v>57</v>
      </c>
      <c r="I153" s="4">
        <v>43160</v>
      </c>
      <c r="J153" s="3">
        <v>8</v>
      </c>
      <c r="K153" s="5">
        <v>54148.97</v>
      </c>
      <c r="L153" s="5">
        <v>2139.48</v>
      </c>
      <c r="M153" s="3" t="s">
        <v>32</v>
      </c>
      <c r="N153" s="3">
        <v>1</v>
      </c>
      <c r="O153" s="3">
        <v>5</v>
      </c>
      <c r="P153" s="3">
        <v>4</v>
      </c>
      <c r="Q153" s="3">
        <v>28</v>
      </c>
      <c r="R153" s="3" t="s">
        <v>32</v>
      </c>
      <c r="S153" s="3">
        <v>14</v>
      </c>
      <c r="T153" s="3" t="s">
        <v>31</v>
      </c>
      <c r="U153" s="3">
        <v>10</v>
      </c>
      <c r="V153" s="3" t="s">
        <v>32</v>
      </c>
      <c r="W153" s="4"/>
      <c r="X153" s="4" t="str">
        <f t="shared" si="2"/>
        <v>Active</v>
      </c>
      <c r="Y153" s="3" t="s">
        <v>65</v>
      </c>
    </row>
    <row r="154" spans="1:25">
      <c r="A154" s="2">
        <v>10153</v>
      </c>
      <c r="B154" s="3" t="s">
        <v>232</v>
      </c>
      <c r="C154" s="3" t="s">
        <v>41</v>
      </c>
      <c r="D154" s="3">
        <v>24</v>
      </c>
      <c r="E154" s="3" t="s">
        <v>26</v>
      </c>
      <c r="F154" s="3" t="s">
        <v>27</v>
      </c>
      <c r="G154" s="3" t="s">
        <v>44</v>
      </c>
      <c r="H154" s="3" t="s">
        <v>29</v>
      </c>
      <c r="I154" s="4">
        <v>43463</v>
      </c>
      <c r="J154" s="3">
        <v>8</v>
      </c>
      <c r="K154" s="5">
        <v>49480.22</v>
      </c>
      <c r="L154" s="5">
        <v>3981.29</v>
      </c>
      <c r="M154" s="3" t="s">
        <v>30</v>
      </c>
      <c r="N154" s="3">
        <v>3</v>
      </c>
      <c r="O154" s="3">
        <v>3</v>
      </c>
      <c r="P154" s="3">
        <v>1</v>
      </c>
      <c r="Q154" s="3">
        <v>70</v>
      </c>
      <c r="R154" s="3" t="s">
        <v>32</v>
      </c>
      <c r="S154" s="3">
        <v>12</v>
      </c>
      <c r="T154" s="3" t="s">
        <v>52</v>
      </c>
      <c r="U154" s="3">
        <v>9</v>
      </c>
      <c r="V154" s="3" t="s">
        <v>32</v>
      </c>
      <c r="W154" s="4"/>
      <c r="X154" s="4" t="str">
        <f t="shared" si="2"/>
        <v>Active</v>
      </c>
      <c r="Y154" s="3" t="s">
        <v>84</v>
      </c>
    </row>
    <row r="155" spans="1:25">
      <c r="A155" s="2">
        <v>10154</v>
      </c>
      <c r="B155" s="3" t="s">
        <v>233</v>
      </c>
      <c r="C155" s="3" t="s">
        <v>25</v>
      </c>
      <c r="D155" s="3">
        <v>58</v>
      </c>
      <c r="E155" s="3" t="s">
        <v>73</v>
      </c>
      <c r="F155" s="3" t="s">
        <v>74</v>
      </c>
      <c r="G155" s="3" t="s">
        <v>37</v>
      </c>
      <c r="H155" s="3" t="s">
        <v>45</v>
      </c>
      <c r="I155" s="4">
        <v>42187</v>
      </c>
      <c r="J155" s="3">
        <v>11</v>
      </c>
      <c r="K155" s="5">
        <v>49033.98</v>
      </c>
      <c r="L155" s="5">
        <v>6924.17</v>
      </c>
      <c r="M155" s="3" t="s">
        <v>30</v>
      </c>
      <c r="N155" s="3">
        <v>5</v>
      </c>
      <c r="O155" s="3">
        <v>3</v>
      </c>
      <c r="P155" s="3">
        <v>1</v>
      </c>
      <c r="Q155" s="3">
        <v>42</v>
      </c>
      <c r="R155" s="3" t="s">
        <v>30</v>
      </c>
      <c r="S155" s="3">
        <v>22</v>
      </c>
      <c r="T155" s="3" t="s">
        <v>38</v>
      </c>
      <c r="U155" s="3">
        <v>9</v>
      </c>
      <c r="V155" s="3" t="s">
        <v>30</v>
      </c>
      <c r="W155" s="4">
        <v>45647</v>
      </c>
      <c r="X155" s="4" t="str">
        <f t="shared" si="2"/>
        <v>Exited</v>
      </c>
      <c r="Y155" s="3" t="s">
        <v>68</v>
      </c>
    </row>
    <row r="156" spans="1:25">
      <c r="A156" s="2">
        <v>10155</v>
      </c>
      <c r="B156" s="3" t="s">
        <v>234</v>
      </c>
      <c r="C156" s="3" t="s">
        <v>41</v>
      </c>
      <c r="D156" s="3">
        <v>30</v>
      </c>
      <c r="E156" s="3" t="s">
        <v>48</v>
      </c>
      <c r="F156" s="3" t="s">
        <v>49</v>
      </c>
      <c r="G156" s="3" t="s">
        <v>67</v>
      </c>
      <c r="H156" s="3" t="s">
        <v>29</v>
      </c>
      <c r="I156" s="4">
        <v>44436</v>
      </c>
      <c r="J156" s="3">
        <v>5</v>
      </c>
      <c r="K156" s="5">
        <v>57718.12</v>
      </c>
      <c r="L156" s="5">
        <v>7874.2</v>
      </c>
      <c r="M156" s="3" t="s">
        <v>32</v>
      </c>
      <c r="N156" s="3">
        <v>1</v>
      </c>
      <c r="O156" s="3">
        <v>5</v>
      </c>
      <c r="P156" s="3">
        <v>1</v>
      </c>
      <c r="Q156" s="3">
        <v>64</v>
      </c>
      <c r="R156" s="3" t="s">
        <v>30</v>
      </c>
      <c r="S156" s="3">
        <v>27</v>
      </c>
      <c r="T156" s="3" t="s">
        <v>38</v>
      </c>
      <c r="U156" s="3">
        <v>2</v>
      </c>
      <c r="V156" s="3" t="s">
        <v>32</v>
      </c>
      <c r="W156" s="4"/>
      <c r="X156" s="4" t="str">
        <f t="shared" si="2"/>
        <v>Active</v>
      </c>
      <c r="Y156" s="3" t="s">
        <v>39</v>
      </c>
    </row>
    <row r="157" spans="1:25">
      <c r="A157" s="2">
        <v>10156</v>
      </c>
      <c r="B157" s="3" t="s">
        <v>152</v>
      </c>
      <c r="C157" s="3" t="s">
        <v>41</v>
      </c>
      <c r="D157" s="3">
        <v>39</v>
      </c>
      <c r="E157" s="3" t="s">
        <v>102</v>
      </c>
      <c r="F157" s="3" t="s">
        <v>116</v>
      </c>
      <c r="G157" s="3" t="s">
        <v>78</v>
      </c>
      <c r="H157" s="3" t="s">
        <v>57</v>
      </c>
      <c r="I157" s="4">
        <v>42851</v>
      </c>
      <c r="J157" s="3">
        <v>9</v>
      </c>
      <c r="K157" s="5">
        <v>49312.6</v>
      </c>
      <c r="L157" s="5">
        <v>2729.66</v>
      </c>
      <c r="M157" s="3" t="s">
        <v>30</v>
      </c>
      <c r="N157" s="3">
        <v>2</v>
      </c>
      <c r="O157" s="3">
        <v>2</v>
      </c>
      <c r="P157" s="3">
        <v>5</v>
      </c>
      <c r="Q157" s="3">
        <v>13</v>
      </c>
      <c r="R157" s="3" t="s">
        <v>30</v>
      </c>
      <c r="S157" s="3">
        <v>6</v>
      </c>
      <c r="T157" s="3" t="s">
        <v>38</v>
      </c>
      <c r="U157" s="3">
        <v>14</v>
      </c>
      <c r="V157" s="3" t="s">
        <v>32</v>
      </c>
      <c r="W157" s="4"/>
      <c r="X157" s="4" t="str">
        <f t="shared" si="2"/>
        <v>Active</v>
      </c>
      <c r="Y157" s="3" t="s">
        <v>65</v>
      </c>
    </row>
    <row r="158" spans="1:25">
      <c r="A158" s="2">
        <v>10157</v>
      </c>
      <c r="B158" s="3" t="s">
        <v>235</v>
      </c>
      <c r="C158" s="3" t="s">
        <v>41</v>
      </c>
      <c r="D158" s="3">
        <v>40</v>
      </c>
      <c r="E158" s="3" t="s">
        <v>73</v>
      </c>
      <c r="F158" s="3" t="s">
        <v>77</v>
      </c>
      <c r="G158" s="3" t="s">
        <v>44</v>
      </c>
      <c r="H158" s="3" t="s">
        <v>29</v>
      </c>
      <c r="I158" s="4">
        <v>41470</v>
      </c>
      <c r="J158" s="3">
        <v>13</v>
      </c>
      <c r="K158" s="5">
        <v>88455.81</v>
      </c>
      <c r="L158" s="5">
        <v>5267.36</v>
      </c>
      <c r="M158" s="3" t="s">
        <v>32</v>
      </c>
      <c r="N158" s="3">
        <v>5</v>
      </c>
      <c r="O158" s="3">
        <v>1</v>
      </c>
      <c r="P158" s="3">
        <v>2</v>
      </c>
      <c r="Q158" s="3">
        <v>41</v>
      </c>
      <c r="R158" s="3" t="s">
        <v>30</v>
      </c>
      <c r="S158" s="3">
        <v>23</v>
      </c>
      <c r="T158" s="3" t="s">
        <v>52</v>
      </c>
      <c r="U158" s="3">
        <v>11</v>
      </c>
      <c r="V158" s="3" t="s">
        <v>32</v>
      </c>
      <c r="W158" s="4"/>
      <c r="X158" s="4" t="str">
        <f t="shared" si="2"/>
        <v>Active</v>
      </c>
      <c r="Y158" s="3" t="s">
        <v>39</v>
      </c>
    </row>
    <row r="159" spans="1:25">
      <c r="A159" s="2">
        <v>10158</v>
      </c>
      <c r="B159" s="3" t="s">
        <v>236</v>
      </c>
      <c r="C159" s="3" t="s">
        <v>41</v>
      </c>
      <c r="D159" s="3">
        <v>32</v>
      </c>
      <c r="E159" s="3" t="s">
        <v>42</v>
      </c>
      <c r="F159" s="3" t="s">
        <v>70</v>
      </c>
      <c r="G159" s="3" t="s">
        <v>44</v>
      </c>
      <c r="H159" s="3" t="s">
        <v>45</v>
      </c>
      <c r="I159" s="4">
        <v>44685</v>
      </c>
      <c r="J159" s="3">
        <v>4</v>
      </c>
      <c r="K159" s="5">
        <v>48741.89</v>
      </c>
      <c r="L159" s="5">
        <v>3902.55</v>
      </c>
      <c r="M159" s="3" t="s">
        <v>32</v>
      </c>
      <c r="N159" s="3">
        <v>2</v>
      </c>
      <c r="O159" s="3">
        <v>1</v>
      </c>
      <c r="P159" s="3">
        <v>1</v>
      </c>
      <c r="Q159" s="3">
        <v>7</v>
      </c>
      <c r="R159" s="3" t="s">
        <v>32</v>
      </c>
      <c r="S159" s="3">
        <v>8</v>
      </c>
      <c r="T159" s="3" t="s">
        <v>52</v>
      </c>
      <c r="U159" s="3">
        <v>6</v>
      </c>
      <c r="V159" s="3" t="s">
        <v>32</v>
      </c>
      <c r="W159" s="4"/>
      <c r="X159" s="4" t="str">
        <f t="shared" si="2"/>
        <v>Active</v>
      </c>
      <c r="Y159" s="3" t="s">
        <v>46</v>
      </c>
    </row>
    <row r="160" spans="1:25">
      <c r="A160" s="2">
        <v>10159</v>
      </c>
      <c r="B160" s="3" t="s">
        <v>237</v>
      </c>
      <c r="C160" s="3" t="s">
        <v>25</v>
      </c>
      <c r="D160" s="3">
        <v>37</v>
      </c>
      <c r="E160" s="3" t="s">
        <v>35</v>
      </c>
      <c r="F160" s="3" t="s">
        <v>36</v>
      </c>
      <c r="G160" s="3" t="s">
        <v>67</v>
      </c>
      <c r="H160" s="3" t="s">
        <v>29</v>
      </c>
      <c r="I160" s="4">
        <v>41798</v>
      </c>
      <c r="J160" s="3">
        <v>12</v>
      </c>
      <c r="K160" s="5">
        <v>80124.800000000003</v>
      </c>
      <c r="L160" s="5">
        <v>6221.38</v>
      </c>
      <c r="M160" s="3" t="s">
        <v>30</v>
      </c>
      <c r="N160" s="3">
        <v>3</v>
      </c>
      <c r="O160" s="3">
        <v>1</v>
      </c>
      <c r="P160" s="3">
        <v>1</v>
      </c>
      <c r="Q160" s="3">
        <v>59</v>
      </c>
      <c r="R160" s="3" t="s">
        <v>30</v>
      </c>
      <c r="S160" s="3">
        <v>30</v>
      </c>
      <c r="T160" s="3" t="s">
        <v>31</v>
      </c>
      <c r="U160" s="3">
        <v>13</v>
      </c>
      <c r="V160" s="3" t="s">
        <v>32</v>
      </c>
      <c r="W160" s="4"/>
      <c r="X160" s="4" t="str">
        <f t="shared" si="2"/>
        <v>Active</v>
      </c>
      <c r="Y160" s="3" t="s">
        <v>33</v>
      </c>
    </row>
    <row r="161" spans="1:25">
      <c r="A161" s="2">
        <v>10160</v>
      </c>
      <c r="B161" s="3" t="s">
        <v>192</v>
      </c>
      <c r="C161" s="3" t="s">
        <v>41</v>
      </c>
      <c r="D161" s="3">
        <v>48</v>
      </c>
      <c r="E161" s="3" t="s">
        <v>26</v>
      </c>
      <c r="F161" s="3" t="s">
        <v>83</v>
      </c>
      <c r="G161" s="3" t="s">
        <v>28</v>
      </c>
      <c r="H161" s="3" t="s">
        <v>29</v>
      </c>
      <c r="I161" s="4">
        <v>42431</v>
      </c>
      <c r="J161" s="3">
        <v>10</v>
      </c>
      <c r="K161" s="5">
        <v>63190.55</v>
      </c>
      <c r="L161" s="5">
        <v>8520.94</v>
      </c>
      <c r="M161" s="3" t="s">
        <v>30</v>
      </c>
      <c r="N161" s="3">
        <v>5</v>
      </c>
      <c r="O161" s="3">
        <v>5</v>
      </c>
      <c r="P161" s="3">
        <v>2</v>
      </c>
      <c r="Q161" s="3">
        <v>37</v>
      </c>
      <c r="R161" s="3" t="s">
        <v>32</v>
      </c>
      <c r="S161" s="3">
        <v>29</v>
      </c>
      <c r="T161" s="3" t="s">
        <v>31</v>
      </c>
      <c r="U161" s="3">
        <v>15</v>
      </c>
      <c r="V161" s="3" t="s">
        <v>30</v>
      </c>
      <c r="W161" s="4">
        <v>45134</v>
      </c>
      <c r="X161" s="4" t="str">
        <f t="shared" si="2"/>
        <v>Exited</v>
      </c>
      <c r="Y161" s="3" t="s">
        <v>33</v>
      </c>
    </row>
    <row r="162" spans="1:25">
      <c r="A162" s="2">
        <v>10161</v>
      </c>
      <c r="B162" s="3" t="s">
        <v>238</v>
      </c>
      <c r="C162" s="3" t="s">
        <v>25</v>
      </c>
      <c r="D162" s="3">
        <v>54</v>
      </c>
      <c r="E162" s="3" t="s">
        <v>26</v>
      </c>
      <c r="F162" s="3" t="s">
        <v>105</v>
      </c>
      <c r="G162" s="3" t="s">
        <v>78</v>
      </c>
      <c r="H162" s="3" t="s">
        <v>45</v>
      </c>
      <c r="I162" s="4">
        <v>43120</v>
      </c>
      <c r="J162" s="3">
        <v>8</v>
      </c>
      <c r="K162" s="5">
        <v>76179.490000000005</v>
      </c>
      <c r="L162" s="5">
        <v>9262.4</v>
      </c>
      <c r="M162" s="3" t="s">
        <v>32</v>
      </c>
      <c r="N162" s="3">
        <v>5</v>
      </c>
      <c r="O162" s="3">
        <v>5</v>
      </c>
      <c r="P162" s="3">
        <v>3</v>
      </c>
      <c r="Q162" s="3">
        <v>49</v>
      </c>
      <c r="R162" s="3" t="s">
        <v>32</v>
      </c>
      <c r="S162" s="3">
        <v>1</v>
      </c>
      <c r="T162" s="3" t="s">
        <v>38</v>
      </c>
      <c r="U162" s="3">
        <v>19</v>
      </c>
      <c r="V162" s="3" t="s">
        <v>32</v>
      </c>
      <c r="W162" s="4"/>
      <c r="X162" s="4" t="str">
        <f t="shared" si="2"/>
        <v>Active</v>
      </c>
      <c r="Y162" s="3" t="s">
        <v>75</v>
      </c>
    </row>
    <row r="163" spans="1:25">
      <c r="A163" s="2">
        <v>10162</v>
      </c>
      <c r="B163" s="3" t="s">
        <v>239</v>
      </c>
      <c r="C163" s="3" t="s">
        <v>41</v>
      </c>
      <c r="D163" s="3">
        <v>51</v>
      </c>
      <c r="E163" s="3" t="s">
        <v>60</v>
      </c>
      <c r="F163" s="3" t="s">
        <v>122</v>
      </c>
      <c r="G163" s="3" t="s">
        <v>37</v>
      </c>
      <c r="H163" s="3" t="s">
        <v>29</v>
      </c>
      <c r="I163" s="4">
        <v>41486</v>
      </c>
      <c r="J163" s="3">
        <v>13</v>
      </c>
      <c r="K163" s="5">
        <v>52510.080000000002</v>
      </c>
      <c r="L163" s="5">
        <v>5534.16</v>
      </c>
      <c r="M163" s="3" t="s">
        <v>30</v>
      </c>
      <c r="N163" s="3">
        <v>1</v>
      </c>
      <c r="O163" s="3">
        <v>2</v>
      </c>
      <c r="P163" s="3">
        <v>5</v>
      </c>
      <c r="Q163" s="3">
        <v>49</v>
      </c>
      <c r="R163" s="3" t="s">
        <v>32</v>
      </c>
      <c r="S163" s="3">
        <v>27</v>
      </c>
      <c r="T163" s="3" t="s">
        <v>52</v>
      </c>
      <c r="U163" s="3">
        <v>5</v>
      </c>
      <c r="V163" s="3" t="s">
        <v>32</v>
      </c>
      <c r="W163" s="4"/>
      <c r="X163" s="4" t="str">
        <f t="shared" si="2"/>
        <v>Active</v>
      </c>
      <c r="Y163" s="3" t="s">
        <v>46</v>
      </c>
    </row>
    <row r="164" spans="1:25">
      <c r="A164" s="2">
        <v>10163</v>
      </c>
      <c r="B164" s="3" t="s">
        <v>240</v>
      </c>
      <c r="C164" s="3" t="s">
        <v>41</v>
      </c>
      <c r="D164" s="3">
        <v>43</v>
      </c>
      <c r="E164" s="3" t="s">
        <v>60</v>
      </c>
      <c r="F164" s="3" t="s">
        <v>64</v>
      </c>
      <c r="G164" s="3" t="s">
        <v>37</v>
      </c>
      <c r="H164" s="3" t="s">
        <v>29</v>
      </c>
      <c r="I164" s="4">
        <v>44211</v>
      </c>
      <c r="J164" s="3">
        <v>5</v>
      </c>
      <c r="K164" s="5">
        <v>85659.35</v>
      </c>
      <c r="L164" s="5">
        <v>3668.14</v>
      </c>
      <c r="M164" s="3" t="s">
        <v>30</v>
      </c>
      <c r="N164" s="3">
        <v>1</v>
      </c>
      <c r="O164" s="3">
        <v>2</v>
      </c>
      <c r="P164" s="3">
        <v>5</v>
      </c>
      <c r="Q164" s="3">
        <v>28</v>
      </c>
      <c r="R164" s="3" t="s">
        <v>30</v>
      </c>
      <c r="S164" s="3">
        <v>16</v>
      </c>
      <c r="T164" s="3" t="s">
        <v>52</v>
      </c>
      <c r="U164" s="3">
        <v>10</v>
      </c>
      <c r="V164" s="3" t="s">
        <v>32</v>
      </c>
      <c r="W164" s="4"/>
      <c r="X164" s="4" t="str">
        <f t="shared" si="2"/>
        <v>Active</v>
      </c>
      <c r="Y164" s="3" t="s">
        <v>68</v>
      </c>
    </row>
    <row r="165" spans="1:25">
      <c r="A165" s="2">
        <v>10164</v>
      </c>
      <c r="B165" s="3" t="s">
        <v>241</v>
      </c>
      <c r="C165" s="3" t="s">
        <v>25</v>
      </c>
      <c r="D165" s="3">
        <v>32</v>
      </c>
      <c r="E165" s="3" t="s">
        <v>35</v>
      </c>
      <c r="F165" s="3" t="s">
        <v>51</v>
      </c>
      <c r="G165" s="3" t="s">
        <v>67</v>
      </c>
      <c r="H165" s="3" t="s">
        <v>29</v>
      </c>
      <c r="I165" s="4">
        <v>44984</v>
      </c>
      <c r="J165" s="3">
        <v>3</v>
      </c>
      <c r="K165" s="5">
        <v>70234.820000000007</v>
      </c>
      <c r="L165" s="5">
        <v>2698.06</v>
      </c>
      <c r="M165" s="3" t="s">
        <v>30</v>
      </c>
      <c r="N165" s="3">
        <v>5</v>
      </c>
      <c r="O165" s="3">
        <v>3</v>
      </c>
      <c r="P165" s="3">
        <v>1</v>
      </c>
      <c r="Q165" s="3">
        <v>47</v>
      </c>
      <c r="R165" s="3" t="s">
        <v>32</v>
      </c>
      <c r="S165" s="3">
        <v>22</v>
      </c>
      <c r="T165" s="3" t="s">
        <v>38</v>
      </c>
      <c r="U165" s="3">
        <v>18</v>
      </c>
      <c r="V165" s="3" t="s">
        <v>30</v>
      </c>
      <c r="W165" s="4">
        <v>45545</v>
      </c>
      <c r="X165" s="4" t="str">
        <f t="shared" si="2"/>
        <v>Exited</v>
      </c>
      <c r="Y165" s="3" t="s">
        <v>46</v>
      </c>
    </row>
    <row r="166" spans="1:25">
      <c r="A166" s="2">
        <v>10165</v>
      </c>
      <c r="B166" s="3" t="s">
        <v>242</v>
      </c>
      <c r="C166" s="3" t="s">
        <v>25</v>
      </c>
      <c r="D166" s="3">
        <v>48</v>
      </c>
      <c r="E166" s="3" t="s">
        <v>35</v>
      </c>
      <c r="F166" s="3" t="s">
        <v>90</v>
      </c>
      <c r="G166" s="3" t="s">
        <v>37</v>
      </c>
      <c r="H166" s="3" t="s">
        <v>29</v>
      </c>
      <c r="I166" s="4">
        <v>44782</v>
      </c>
      <c r="J166" s="3">
        <v>4</v>
      </c>
      <c r="K166" s="5">
        <v>69678.02</v>
      </c>
      <c r="L166" s="5">
        <v>9807.17</v>
      </c>
      <c r="M166" s="3" t="s">
        <v>32</v>
      </c>
      <c r="N166" s="3">
        <v>2</v>
      </c>
      <c r="O166" s="3">
        <v>5</v>
      </c>
      <c r="P166" s="3">
        <v>2</v>
      </c>
      <c r="Q166" s="3">
        <v>48</v>
      </c>
      <c r="R166" s="3" t="s">
        <v>32</v>
      </c>
      <c r="S166" s="3">
        <v>23</v>
      </c>
      <c r="T166" s="3" t="s">
        <v>38</v>
      </c>
      <c r="U166" s="3">
        <v>4</v>
      </c>
      <c r="V166" s="3" t="s">
        <v>32</v>
      </c>
      <c r="W166" s="4"/>
      <c r="X166" s="4" t="str">
        <f t="shared" si="2"/>
        <v>Active</v>
      </c>
      <c r="Y166" s="3" t="s">
        <v>39</v>
      </c>
    </row>
    <row r="167" spans="1:25">
      <c r="A167" s="2">
        <v>10166</v>
      </c>
      <c r="B167" s="3" t="s">
        <v>175</v>
      </c>
      <c r="C167" s="3" t="s">
        <v>41</v>
      </c>
      <c r="D167" s="3">
        <v>32</v>
      </c>
      <c r="E167" s="3" t="s">
        <v>60</v>
      </c>
      <c r="F167" s="3" t="s">
        <v>122</v>
      </c>
      <c r="G167" s="3" t="s">
        <v>78</v>
      </c>
      <c r="H167" s="3" t="s">
        <v>45</v>
      </c>
      <c r="I167" s="4">
        <v>41988</v>
      </c>
      <c r="J167" s="3">
        <v>12</v>
      </c>
      <c r="K167" s="5">
        <v>92973.51</v>
      </c>
      <c r="L167" s="5">
        <v>3117.8</v>
      </c>
      <c r="M167" s="3" t="s">
        <v>32</v>
      </c>
      <c r="N167" s="3">
        <v>3</v>
      </c>
      <c r="O167" s="3">
        <v>1</v>
      </c>
      <c r="P167" s="3">
        <v>2</v>
      </c>
      <c r="Q167" s="3">
        <v>44</v>
      </c>
      <c r="R167" s="3" t="s">
        <v>32</v>
      </c>
      <c r="S167" s="3">
        <v>6</v>
      </c>
      <c r="T167" s="3" t="s">
        <v>31</v>
      </c>
      <c r="U167" s="3">
        <v>2</v>
      </c>
      <c r="V167" s="3" t="s">
        <v>32</v>
      </c>
      <c r="W167" s="4"/>
      <c r="X167" s="4" t="str">
        <f t="shared" si="2"/>
        <v>Active</v>
      </c>
      <c r="Y167" s="3" t="s">
        <v>132</v>
      </c>
    </row>
    <row r="168" spans="1:25">
      <c r="A168" s="2">
        <v>10167</v>
      </c>
      <c r="B168" s="3" t="s">
        <v>243</v>
      </c>
      <c r="C168" s="3" t="s">
        <v>41</v>
      </c>
      <c r="D168" s="3">
        <v>37</v>
      </c>
      <c r="E168" s="3" t="s">
        <v>26</v>
      </c>
      <c r="F168" s="3" t="s">
        <v>27</v>
      </c>
      <c r="G168" s="3" t="s">
        <v>37</v>
      </c>
      <c r="H168" s="3" t="s">
        <v>57</v>
      </c>
      <c r="I168" s="4">
        <v>42281</v>
      </c>
      <c r="J168" s="3">
        <v>11</v>
      </c>
      <c r="K168" s="5">
        <v>96156.3</v>
      </c>
      <c r="L168" s="5">
        <v>10928.53</v>
      </c>
      <c r="M168" s="3" t="s">
        <v>30</v>
      </c>
      <c r="N168" s="3">
        <v>4</v>
      </c>
      <c r="O168" s="3">
        <v>4</v>
      </c>
      <c r="P168" s="3">
        <v>2</v>
      </c>
      <c r="Q168" s="3">
        <v>52</v>
      </c>
      <c r="R168" s="3" t="s">
        <v>32</v>
      </c>
      <c r="S168" s="3">
        <v>13</v>
      </c>
      <c r="T168" s="3" t="s">
        <v>38</v>
      </c>
      <c r="U168" s="3">
        <v>17</v>
      </c>
      <c r="V168" s="3" t="s">
        <v>32</v>
      </c>
      <c r="W168" s="4"/>
      <c r="X168" s="4" t="str">
        <f t="shared" si="2"/>
        <v>Active</v>
      </c>
      <c r="Y168" s="3" t="s">
        <v>55</v>
      </c>
    </row>
    <row r="169" spans="1:25">
      <c r="A169" s="2">
        <v>10168</v>
      </c>
      <c r="B169" s="3" t="s">
        <v>244</v>
      </c>
      <c r="C169" s="3" t="s">
        <v>41</v>
      </c>
      <c r="D169" s="3">
        <v>35</v>
      </c>
      <c r="E169" s="3" t="s">
        <v>26</v>
      </c>
      <c r="F169" s="3" t="s">
        <v>113</v>
      </c>
      <c r="G169" s="3" t="s">
        <v>67</v>
      </c>
      <c r="H169" s="3" t="s">
        <v>29</v>
      </c>
      <c r="I169" s="4">
        <v>42594</v>
      </c>
      <c r="J169" s="3">
        <v>10</v>
      </c>
      <c r="K169" s="5">
        <v>46305.07</v>
      </c>
      <c r="L169" s="5">
        <v>2498</v>
      </c>
      <c r="M169" s="3" t="s">
        <v>30</v>
      </c>
      <c r="N169" s="3">
        <v>3</v>
      </c>
      <c r="O169" s="3">
        <v>2</v>
      </c>
      <c r="P169" s="3">
        <v>4</v>
      </c>
      <c r="Q169" s="3">
        <v>20</v>
      </c>
      <c r="R169" s="3" t="s">
        <v>32</v>
      </c>
      <c r="S169" s="3">
        <v>18</v>
      </c>
      <c r="T169" s="3" t="s">
        <v>52</v>
      </c>
      <c r="U169" s="3">
        <v>10</v>
      </c>
      <c r="V169" s="3" t="s">
        <v>32</v>
      </c>
      <c r="W169" s="4"/>
      <c r="X169" s="4" t="str">
        <f t="shared" si="2"/>
        <v>Active</v>
      </c>
      <c r="Y169" s="3" t="s">
        <v>81</v>
      </c>
    </row>
    <row r="170" spans="1:25">
      <c r="A170" s="2">
        <v>10169</v>
      </c>
      <c r="B170" s="3" t="s">
        <v>245</v>
      </c>
      <c r="C170" s="3" t="s">
        <v>41</v>
      </c>
      <c r="D170" s="3">
        <v>31</v>
      </c>
      <c r="E170" s="3" t="s">
        <v>60</v>
      </c>
      <c r="F170" s="3" t="s">
        <v>180</v>
      </c>
      <c r="G170" s="3" t="s">
        <v>28</v>
      </c>
      <c r="H170" s="3" t="s">
        <v>29</v>
      </c>
      <c r="I170" s="4">
        <v>42891</v>
      </c>
      <c r="J170" s="3">
        <v>9</v>
      </c>
      <c r="K170" s="5">
        <v>60416.29</v>
      </c>
      <c r="L170" s="5">
        <v>2700.48</v>
      </c>
      <c r="M170" s="3" t="s">
        <v>32</v>
      </c>
      <c r="N170" s="3">
        <v>5</v>
      </c>
      <c r="O170" s="3">
        <v>3</v>
      </c>
      <c r="P170" s="3">
        <v>3</v>
      </c>
      <c r="Q170" s="3">
        <v>38</v>
      </c>
      <c r="R170" s="3" t="s">
        <v>30</v>
      </c>
      <c r="S170" s="3">
        <v>2</v>
      </c>
      <c r="T170" s="3" t="s">
        <v>38</v>
      </c>
      <c r="U170" s="3">
        <v>18</v>
      </c>
      <c r="V170" s="3" t="s">
        <v>32</v>
      </c>
      <c r="W170" s="4"/>
      <c r="X170" s="4" t="str">
        <f t="shared" si="2"/>
        <v>Active</v>
      </c>
      <c r="Y170" s="3" t="s">
        <v>71</v>
      </c>
    </row>
    <row r="171" spans="1:25">
      <c r="A171" s="2">
        <v>10170</v>
      </c>
      <c r="B171" s="3" t="s">
        <v>246</v>
      </c>
      <c r="C171" s="3" t="s">
        <v>25</v>
      </c>
      <c r="D171" s="3">
        <v>21</v>
      </c>
      <c r="E171" s="3" t="s">
        <v>73</v>
      </c>
      <c r="F171" s="3" t="s">
        <v>95</v>
      </c>
      <c r="G171" s="3" t="s">
        <v>28</v>
      </c>
      <c r="H171" s="3" t="s">
        <v>45</v>
      </c>
      <c r="I171" s="4">
        <v>45299</v>
      </c>
      <c r="J171" s="3">
        <v>2</v>
      </c>
      <c r="K171" s="5">
        <v>76012.929999999993</v>
      </c>
      <c r="L171" s="5">
        <v>3493.38</v>
      </c>
      <c r="M171" s="3" t="s">
        <v>30</v>
      </c>
      <c r="N171" s="3">
        <v>2</v>
      </c>
      <c r="O171" s="3">
        <v>3</v>
      </c>
      <c r="P171" s="3">
        <v>1</v>
      </c>
      <c r="Q171" s="3">
        <v>60</v>
      </c>
      <c r="R171" s="3" t="s">
        <v>32</v>
      </c>
      <c r="S171" s="3">
        <v>10</v>
      </c>
      <c r="T171" s="3" t="s">
        <v>38</v>
      </c>
      <c r="U171" s="3">
        <v>15</v>
      </c>
      <c r="V171" s="3" t="s">
        <v>32</v>
      </c>
      <c r="W171" s="4"/>
      <c r="X171" s="4" t="str">
        <f t="shared" si="2"/>
        <v>Active</v>
      </c>
      <c r="Y171" s="3" t="s">
        <v>132</v>
      </c>
    </row>
    <row r="172" spans="1:25">
      <c r="A172" s="2">
        <v>10171</v>
      </c>
      <c r="B172" s="3" t="s">
        <v>247</v>
      </c>
      <c r="C172" s="3" t="s">
        <v>41</v>
      </c>
      <c r="D172" s="3">
        <v>55</v>
      </c>
      <c r="E172" s="3" t="s">
        <v>73</v>
      </c>
      <c r="F172" s="3" t="s">
        <v>74</v>
      </c>
      <c r="G172" s="3" t="s">
        <v>28</v>
      </c>
      <c r="H172" s="3" t="s">
        <v>57</v>
      </c>
      <c r="I172" s="4">
        <v>43205</v>
      </c>
      <c r="J172" s="3">
        <v>8</v>
      </c>
      <c r="K172" s="5">
        <v>51194.98</v>
      </c>
      <c r="L172" s="5">
        <v>1320.84</v>
      </c>
      <c r="M172" s="3" t="s">
        <v>32</v>
      </c>
      <c r="N172" s="3">
        <v>3</v>
      </c>
      <c r="O172" s="3">
        <v>2</v>
      </c>
      <c r="P172" s="3">
        <v>3</v>
      </c>
      <c r="Q172" s="3">
        <v>72</v>
      </c>
      <c r="R172" s="3" t="s">
        <v>30</v>
      </c>
      <c r="S172" s="3">
        <v>25</v>
      </c>
      <c r="T172" s="3" t="s">
        <v>31</v>
      </c>
      <c r="U172" s="3">
        <v>3</v>
      </c>
      <c r="V172" s="3" t="s">
        <v>30</v>
      </c>
      <c r="W172" s="4">
        <v>45266</v>
      </c>
      <c r="X172" s="4" t="str">
        <f t="shared" si="2"/>
        <v>Exited</v>
      </c>
      <c r="Y172" s="3" t="s">
        <v>62</v>
      </c>
    </row>
    <row r="173" spans="1:25">
      <c r="A173" s="2">
        <v>10172</v>
      </c>
      <c r="B173" s="3" t="s">
        <v>248</v>
      </c>
      <c r="C173" s="3" t="s">
        <v>41</v>
      </c>
      <c r="D173" s="3">
        <v>56</v>
      </c>
      <c r="E173" s="3" t="s">
        <v>42</v>
      </c>
      <c r="F173" s="3" t="s">
        <v>70</v>
      </c>
      <c r="G173" s="3" t="s">
        <v>44</v>
      </c>
      <c r="H173" s="3" t="s">
        <v>57</v>
      </c>
      <c r="I173" s="4">
        <v>44565</v>
      </c>
      <c r="J173" s="3">
        <v>4</v>
      </c>
      <c r="K173" s="5">
        <v>72788.740000000005</v>
      </c>
      <c r="L173" s="5">
        <v>10316.129999999999</v>
      </c>
      <c r="M173" s="3" t="s">
        <v>32</v>
      </c>
      <c r="N173" s="3">
        <v>2</v>
      </c>
      <c r="O173" s="3">
        <v>4</v>
      </c>
      <c r="P173" s="3">
        <v>3</v>
      </c>
      <c r="Q173" s="3">
        <v>10</v>
      </c>
      <c r="R173" s="3" t="s">
        <v>32</v>
      </c>
      <c r="S173" s="3">
        <v>28</v>
      </c>
      <c r="T173" s="3" t="s">
        <v>31</v>
      </c>
      <c r="U173" s="3">
        <v>1</v>
      </c>
      <c r="V173" s="3" t="s">
        <v>32</v>
      </c>
      <c r="W173" s="4"/>
      <c r="X173" s="4" t="str">
        <f t="shared" si="2"/>
        <v>Active</v>
      </c>
      <c r="Y173" s="3" t="s">
        <v>75</v>
      </c>
    </row>
    <row r="174" spans="1:25">
      <c r="A174" s="2">
        <v>10173</v>
      </c>
      <c r="B174" s="3" t="s">
        <v>249</v>
      </c>
      <c r="C174" s="3" t="s">
        <v>25</v>
      </c>
      <c r="D174" s="3">
        <v>49</v>
      </c>
      <c r="E174" s="3" t="s">
        <v>26</v>
      </c>
      <c r="F174" s="3" t="s">
        <v>27</v>
      </c>
      <c r="G174" s="3" t="s">
        <v>78</v>
      </c>
      <c r="H174" s="3" t="s">
        <v>29</v>
      </c>
      <c r="I174" s="4">
        <v>41212</v>
      </c>
      <c r="J174" s="3">
        <v>14</v>
      </c>
      <c r="K174" s="5">
        <v>47773.93</v>
      </c>
      <c r="L174" s="5">
        <v>1442.19</v>
      </c>
      <c r="M174" s="3" t="s">
        <v>32</v>
      </c>
      <c r="N174" s="3">
        <v>2</v>
      </c>
      <c r="O174" s="3">
        <v>2</v>
      </c>
      <c r="P174" s="3">
        <v>5</v>
      </c>
      <c r="Q174" s="3">
        <v>33</v>
      </c>
      <c r="R174" s="3" t="s">
        <v>32</v>
      </c>
      <c r="S174" s="3">
        <v>24</v>
      </c>
      <c r="T174" s="3" t="s">
        <v>52</v>
      </c>
      <c r="U174" s="3">
        <v>2</v>
      </c>
      <c r="V174" s="3" t="s">
        <v>32</v>
      </c>
      <c r="W174" s="4"/>
      <c r="X174" s="4" t="str">
        <f t="shared" si="2"/>
        <v>Active</v>
      </c>
      <c r="Y174" s="3" t="s">
        <v>33</v>
      </c>
    </row>
    <row r="175" spans="1:25">
      <c r="A175" s="2">
        <v>10174</v>
      </c>
      <c r="B175" s="3" t="s">
        <v>250</v>
      </c>
      <c r="C175" s="3" t="s">
        <v>41</v>
      </c>
      <c r="D175" s="3">
        <v>50</v>
      </c>
      <c r="E175" s="3" t="s">
        <v>35</v>
      </c>
      <c r="F175" s="3" t="s">
        <v>36</v>
      </c>
      <c r="G175" s="3" t="s">
        <v>37</v>
      </c>
      <c r="H175" s="3" t="s">
        <v>45</v>
      </c>
      <c r="I175" s="4">
        <v>44992</v>
      </c>
      <c r="J175" s="3">
        <v>3</v>
      </c>
      <c r="K175" s="5">
        <v>61128.1</v>
      </c>
      <c r="L175" s="5">
        <v>4556.93</v>
      </c>
      <c r="M175" s="3" t="s">
        <v>32</v>
      </c>
      <c r="N175" s="3">
        <v>2</v>
      </c>
      <c r="O175" s="3">
        <v>5</v>
      </c>
      <c r="P175" s="3">
        <v>5</v>
      </c>
      <c r="Q175" s="3">
        <v>74</v>
      </c>
      <c r="R175" s="3" t="s">
        <v>32</v>
      </c>
      <c r="S175" s="3">
        <v>4</v>
      </c>
      <c r="T175" s="3" t="s">
        <v>52</v>
      </c>
      <c r="U175" s="3">
        <v>18</v>
      </c>
      <c r="V175" s="3" t="s">
        <v>32</v>
      </c>
      <c r="W175" s="4"/>
      <c r="X175" s="4" t="str">
        <f t="shared" si="2"/>
        <v>Active</v>
      </c>
      <c r="Y175" s="3" t="s">
        <v>62</v>
      </c>
    </row>
    <row r="176" spans="1:25">
      <c r="A176" s="2">
        <v>10175</v>
      </c>
      <c r="B176" s="3" t="s">
        <v>251</v>
      </c>
      <c r="C176" s="3" t="s">
        <v>41</v>
      </c>
      <c r="D176" s="3">
        <v>43</v>
      </c>
      <c r="E176" s="3" t="s">
        <v>73</v>
      </c>
      <c r="F176" s="3" t="s">
        <v>77</v>
      </c>
      <c r="G176" s="3" t="s">
        <v>28</v>
      </c>
      <c r="H176" s="3" t="s">
        <v>57</v>
      </c>
      <c r="I176" s="4">
        <v>44865</v>
      </c>
      <c r="J176" s="3">
        <v>4</v>
      </c>
      <c r="K176" s="5">
        <v>76537.73</v>
      </c>
      <c r="L176" s="5">
        <v>1903.53</v>
      </c>
      <c r="M176" s="3" t="s">
        <v>30</v>
      </c>
      <c r="N176" s="3">
        <v>2</v>
      </c>
      <c r="O176" s="3">
        <v>5</v>
      </c>
      <c r="P176" s="3">
        <v>5</v>
      </c>
      <c r="Q176" s="3">
        <v>51</v>
      </c>
      <c r="R176" s="3" t="s">
        <v>30</v>
      </c>
      <c r="S176" s="3">
        <v>29</v>
      </c>
      <c r="T176" s="3" t="s">
        <v>38</v>
      </c>
      <c r="U176" s="3">
        <v>7</v>
      </c>
      <c r="V176" s="3" t="s">
        <v>30</v>
      </c>
      <c r="W176" s="4">
        <v>45535</v>
      </c>
      <c r="X176" s="4" t="str">
        <f t="shared" si="2"/>
        <v>Exited</v>
      </c>
      <c r="Y176" s="3" t="s">
        <v>75</v>
      </c>
    </row>
    <row r="177" spans="1:25">
      <c r="A177" s="2">
        <v>10176</v>
      </c>
      <c r="B177" s="3" t="s">
        <v>252</v>
      </c>
      <c r="C177" s="3" t="s">
        <v>41</v>
      </c>
      <c r="D177" s="3">
        <v>42</v>
      </c>
      <c r="E177" s="3" t="s">
        <v>35</v>
      </c>
      <c r="F177" s="3" t="s">
        <v>51</v>
      </c>
      <c r="G177" s="3" t="s">
        <v>28</v>
      </c>
      <c r="H177" s="3" t="s">
        <v>57</v>
      </c>
      <c r="I177" s="4">
        <v>40983</v>
      </c>
      <c r="J177" s="3">
        <v>14</v>
      </c>
      <c r="K177" s="5">
        <v>83624.83</v>
      </c>
      <c r="L177" s="5">
        <v>4150.67</v>
      </c>
      <c r="M177" s="3" t="s">
        <v>32</v>
      </c>
      <c r="N177" s="3">
        <v>4</v>
      </c>
      <c r="O177" s="3">
        <v>3</v>
      </c>
      <c r="P177" s="3">
        <v>3</v>
      </c>
      <c r="Q177" s="3">
        <v>53</v>
      </c>
      <c r="R177" s="3" t="s">
        <v>32</v>
      </c>
      <c r="S177" s="3">
        <v>3</v>
      </c>
      <c r="T177" s="3" t="s">
        <v>52</v>
      </c>
      <c r="U177" s="3">
        <v>14</v>
      </c>
      <c r="V177" s="3" t="s">
        <v>32</v>
      </c>
      <c r="W177" s="4"/>
      <c r="X177" s="4" t="str">
        <f t="shared" si="2"/>
        <v>Active</v>
      </c>
      <c r="Y177" s="3" t="s">
        <v>55</v>
      </c>
    </row>
    <row r="178" spans="1:25">
      <c r="A178" s="2">
        <v>10177</v>
      </c>
      <c r="B178" s="3" t="s">
        <v>253</v>
      </c>
      <c r="C178" s="3" t="s">
        <v>41</v>
      </c>
      <c r="D178" s="3">
        <v>54</v>
      </c>
      <c r="E178" s="3" t="s">
        <v>35</v>
      </c>
      <c r="F178" s="3" t="s">
        <v>51</v>
      </c>
      <c r="G178" s="3" t="s">
        <v>44</v>
      </c>
      <c r="H178" s="3" t="s">
        <v>45</v>
      </c>
      <c r="I178" s="4">
        <v>41481</v>
      </c>
      <c r="J178" s="3">
        <v>13</v>
      </c>
      <c r="K178" s="5">
        <v>38280.85</v>
      </c>
      <c r="L178" s="5">
        <v>4296.8</v>
      </c>
      <c r="M178" s="3" t="s">
        <v>32</v>
      </c>
      <c r="N178" s="3">
        <v>5</v>
      </c>
      <c r="O178" s="3">
        <v>5</v>
      </c>
      <c r="P178" s="3">
        <v>1</v>
      </c>
      <c r="Q178" s="3">
        <v>22</v>
      </c>
      <c r="R178" s="3" t="s">
        <v>30</v>
      </c>
      <c r="S178" s="3">
        <v>27</v>
      </c>
      <c r="T178" s="3" t="s">
        <v>52</v>
      </c>
      <c r="U178" s="3">
        <v>1</v>
      </c>
      <c r="V178" s="3" t="s">
        <v>32</v>
      </c>
      <c r="W178" s="4"/>
      <c r="X178" s="4" t="str">
        <f t="shared" si="2"/>
        <v>Active</v>
      </c>
      <c r="Y178" s="3" t="s">
        <v>71</v>
      </c>
    </row>
    <row r="179" spans="1:25">
      <c r="A179" s="2">
        <v>10178</v>
      </c>
      <c r="B179" s="3" t="s">
        <v>254</v>
      </c>
      <c r="C179" s="3" t="s">
        <v>25</v>
      </c>
      <c r="D179" s="3">
        <v>33</v>
      </c>
      <c r="E179" s="3" t="s">
        <v>102</v>
      </c>
      <c r="F179" s="3" t="s">
        <v>116</v>
      </c>
      <c r="G179" s="3" t="s">
        <v>44</v>
      </c>
      <c r="H179" s="3" t="s">
        <v>45</v>
      </c>
      <c r="I179" s="4">
        <v>43430</v>
      </c>
      <c r="J179" s="3">
        <v>8</v>
      </c>
      <c r="K179" s="5">
        <v>63593.440000000002</v>
      </c>
      <c r="L179" s="5">
        <v>2295.94</v>
      </c>
      <c r="M179" s="3" t="s">
        <v>30</v>
      </c>
      <c r="N179" s="3">
        <v>3</v>
      </c>
      <c r="O179" s="3">
        <v>4</v>
      </c>
      <c r="P179" s="3">
        <v>5</v>
      </c>
      <c r="Q179" s="3">
        <v>57</v>
      </c>
      <c r="R179" s="3" t="s">
        <v>30</v>
      </c>
      <c r="S179" s="3">
        <v>28</v>
      </c>
      <c r="T179" s="3" t="s">
        <v>38</v>
      </c>
      <c r="U179" s="3">
        <v>18</v>
      </c>
      <c r="V179" s="3" t="s">
        <v>32</v>
      </c>
      <c r="W179" s="4"/>
      <c r="X179" s="4" t="str">
        <f t="shared" si="2"/>
        <v>Active</v>
      </c>
      <c r="Y179" s="3" t="s">
        <v>46</v>
      </c>
    </row>
    <row r="180" spans="1:25">
      <c r="A180" s="2">
        <v>10179</v>
      </c>
      <c r="B180" s="3" t="s">
        <v>255</v>
      </c>
      <c r="C180" s="3" t="s">
        <v>25</v>
      </c>
      <c r="D180" s="3">
        <v>26</v>
      </c>
      <c r="E180" s="3" t="s">
        <v>102</v>
      </c>
      <c r="F180" s="3" t="s">
        <v>107</v>
      </c>
      <c r="G180" s="3" t="s">
        <v>28</v>
      </c>
      <c r="H180" s="3" t="s">
        <v>29</v>
      </c>
      <c r="I180" s="4">
        <v>44866</v>
      </c>
      <c r="J180" s="3">
        <v>4</v>
      </c>
      <c r="K180" s="5">
        <v>70092.36</v>
      </c>
      <c r="L180" s="5">
        <v>3354.72</v>
      </c>
      <c r="M180" s="3" t="s">
        <v>30</v>
      </c>
      <c r="N180" s="3">
        <v>2</v>
      </c>
      <c r="O180" s="3">
        <v>2</v>
      </c>
      <c r="P180" s="3">
        <v>3</v>
      </c>
      <c r="Q180" s="3">
        <v>52</v>
      </c>
      <c r="R180" s="3" t="s">
        <v>32</v>
      </c>
      <c r="S180" s="3">
        <v>28</v>
      </c>
      <c r="T180" s="3" t="s">
        <v>31</v>
      </c>
      <c r="U180" s="3">
        <v>0</v>
      </c>
      <c r="V180" s="3" t="s">
        <v>32</v>
      </c>
      <c r="W180" s="4"/>
      <c r="X180" s="4" t="str">
        <f t="shared" si="2"/>
        <v>Active</v>
      </c>
      <c r="Y180" s="3" t="s">
        <v>87</v>
      </c>
    </row>
    <row r="181" spans="1:25">
      <c r="A181" s="2">
        <v>10180</v>
      </c>
      <c r="B181" s="3" t="s">
        <v>256</v>
      </c>
      <c r="C181" s="3" t="s">
        <v>25</v>
      </c>
      <c r="D181" s="3">
        <v>21</v>
      </c>
      <c r="E181" s="3" t="s">
        <v>26</v>
      </c>
      <c r="F181" s="3" t="s">
        <v>83</v>
      </c>
      <c r="G181" s="3" t="s">
        <v>37</v>
      </c>
      <c r="H181" s="3" t="s">
        <v>57</v>
      </c>
      <c r="I181" s="4">
        <v>45444</v>
      </c>
      <c r="J181" s="3">
        <v>2</v>
      </c>
      <c r="K181" s="5">
        <v>62899.61</v>
      </c>
      <c r="L181" s="5">
        <v>8580.31</v>
      </c>
      <c r="M181" s="3" t="s">
        <v>32</v>
      </c>
      <c r="N181" s="3">
        <v>4</v>
      </c>
      <c r="O181" s="3">
        <v>3</v>
      </c>
      <c r="P181" s="3">
        <v>2</v>
      </c>
      <c r="Q181" s="3">
        <v>59</v>
      </c>
      <c r="R181" s="3" t="s">
        <v>32</v>
      </c>
      <c r="S181" s="3">
        <v>17</v>
      </c>
      <c r="T181" s="3" t="s">
        <v>31</v>
      </c>
      <c r="U181" s="3">
        <v>12</v>
      </c>
      <c r="V181" s="3" t="s">
        <v>32</v>
      </c>
      <c r="W181" s="4"/>
      <c r="X181" s="4" t="str">
        <f t="shared" si="2"/>
        <v>Active</v>
      </c>
      <c r="Y181" s="3" t="s">
        <v>39</v>
      </c>
    </row>
    <row r="182" spans="1:25">
      <c r="A182" s="2">
        <v>10181</v>
      </c>
      <c r="B182" s="3" t="s">
        <v>257</v>
      </c>
      <c r="C182" s="3" t="s">
        <v>41</v>
      </c>
      <c r="D182" s="3">
        <v>59</v>
      </c>
      <c r="E182" s="3" t="s">
        <v>60</v>
      </c>
      <c r="F182" s="3" t="s">
        <v>122</v>
      </c>
      <c r="G182" s="3" t="s">
        <v>28</v>
      </c>
      <c r="H182" s="3" t="s">
        <v>29</v>
      </c>
      <c r="I182" s="4">
        <v>44125</v>
      </c>
      <c r="J182" s="3">
        <v>6</v>
      </c>
      <c r="K182" s="5">
        <v>49787.78</v>
      </c>
      <c r="L182" s="5">
        <v>7392.83</v>
      </c>
      <c r="M182" s="3" t="s">
        <v>32</v>
      </c>
      <c r="N182" s="3">
        <v>3</v>
      </c>
      <c r="O182" s="3">
        <v>3</v>
      </c>
      <c r="P182" s="3">
        <v>3</v>
      </c>
      <c r="Q182" s="3">
        <v>24</v>
      </c>
      <c r="R182" s="3" t="s">
        <v>30</v>
      </c>
      <c r="S182" s="3">
        <v>25</v>
      </c>
      <c r="T182" s="3" t="s">
        <v>52</v>
      </c>
      <c r="U182" s="3">
        <v>1</v>
      </c>
      <c r="V182" s="3" t="s">
        <v>32</v>
      </c>
      <c r="W182" s="4"/>
      <c r="X182" s="4" t="str">
        <f t="shared" si="2"/>
        <v>Active</v>
      </c>
      <c r="Y182" s="3" t="s">
        <v>62</v>
      </c>
    </row>
    <row r="183" spans="1:25">
      <c r="A183" s="2">
        <v>10182</v>
      </c>
      <c r="B183" s="3" t="s">
        <v>258</v>
      </c>
      <c r="C183" s="3" t="s">
        <v>41</v>
      </c>
      <c r="D183" s="3">
        <v>29</v>
      </c>
      <c r="E183" s="3" t="s">
        <v>48</v>
      </c>
      <c r="F183" s="3" t="s">
        <v>125</v>
      </c>
      <c r="G183" s="3" t="s">
        <v>37</v>
      </c>
      <c r="H183" s="3" t="s">
        <v>57</v>
      </c>
      <c r="I183" s="4">
        <v>42304</v>
      </c>
      <c r="J183" s="3">
        <v>11</v>
      </c>
      <c r="K183" s="5">
        <v>84880.14</v>
      </c>
      <c r="L183" s="5">
        <v>6162.12</v>
      </c>
      <c r="M183" s="3" t="s">
        <v>32</v>
      </c>
      <c r="N183" s="3">
        <v>5</v>
      </c>
      <c r="O183" s="3">
        <v>5</v>
      </c>
      <c r="P183" s="3">
        <v>2</v>
      </c>
      <c r="Q183" s="3">
        <v>43</v>
      </c>
      <c r="R183" s="3" t="s">
        <v>32</v>
      </c>
      <c r="S183" s="3">
        <v>8</v>
      </c>
      <c r="T183" s="3" t="s">
        <v>31</v>
      </c>
      <c r="U183" s="3">
        <v>17</v>
      </c>
      <c r="V183" s="3" t="s">
        <v>32</v>
      </c>
      <c r="W183" s="4"/>
      <c r="X183" s="4" t="str">
        <f t="shared" si="2"/>
        <v>Active</v>
      </c>
      <c r="Y183" s="3" t="s">
        <v>71</v>
      </c>
    </row>
    <row r="184" spans="1:25">
      <c r="A184" s="2">
        <v>10183</v>
      </c>
      <c r="B184" s="3" t="s">
        <v>259</v>
      </c>
      <c r="C184" s="3" t="s">
        <v>41</v>
      </c>
      <c r="D184" s="3">
        <v>31</v>
      </c>
      <c r="E184" s="3" t="s">
        <v>35</v>
      </c>
      <c r="F184" s="3" t="s">
        <v>80</v>
      </c>
      <c r="G184" s="3" t="s">
        <v>28</v>
      </c>
      <c r="H184" s="3" t="s">
        <v>57</v>
      </c>
      <c r="I184" s="4">
        <v>41227</v>
      </c>
      <c r="J184" s="3">
        <v>14</v>
      </c>
      <c r="K184" s="5">
        <v>72045.94</v>
      </c>
      <c r="L184" s="5">
        <v>8233</v>
      </c>
      <c r="M184" s="3" t="s">
        <v>32</v>
      </c>
      <c r="N184" s="3">
        <v>2</v>
      </c>
      <c r="O184" s="3">
        <v>3</v>
      </c>
      <c r="P184" s="3">
        <v>1</v>
      </c>
      <c r="Q184" s="3">
        <v>28</v>
      </c>
      <c r="R184" s="3" t="s">
        <v>32</v>
      </c>
      <c r="S184" s="3">
        <v>24</v>
      </c>
      <c r="T184" s="3" t="s">
        <v>38</v>
      </c>
      <c r="U184" s="3">
        <v>13</v>
      </c>
      <c r="V184" s="3" t="s">
        <v>32</v>
      </c>
      <c r="W184" s="4"/>
      <c r="X184" s="4" t="str">
        <f t="shared" si="2"/>
        <v>Active</v>
      </c>
      <c r="Y184" s="3" t="s">
        <v>46</v>
      </c>
    </row>
    <row r="185" spans="1:25">
      <c r="A185" s="2">
        <v>10184</v>
      </c>
      <c r="B185" s="3" t="s">
        <v>139</v>
      </c>
      <c r="C185" s="3" t="s">
        <v>41</v>
      </c>
      <c r="D185" s="3">
        <v>39</v>
      </c>
      <c r="E185" s="3" t="s">
        <v>73</v>
      </c>
      <c r="F185" s="3" t="s">
        <v>95</v>
      </c>
      <c r="G185" s="3" t="s">
        <v>28</v>
      </c>
      <c r="H185" s="3" t="s">
        <v>45</v>
      </c>
      <c r="I185" s="4">
        <v>44959</v>
      </c>
      <c r="J185" s="3">
        <v>3</v>
      </c>
      <c r="K185" s="5">
        <v>74818.789999999994</v>
      </c>
      <c r="L185" s="5">
        <v>7533.14</v>
      </c>
      <c r="M185" s="3" t="s">
        <v>32</v>
      </c>
      <c r="N185" s="3">
        <v>2</v>
      </c>
      <c r="O185" s="3">
        <v>5</v>
      </c>
      <c r="P185" s="3">
        <v>1</v>
      </c>
      <c r="Q185" s="3">
        <v>48</v>
      </c>
      <c r="R185" s="3" t="s">
        <v>32</v>
      </c>
      <c r="S185" s="3">
        <v>14</v>
      </c>
      <c r="T185" s="3" t="s">
        <v>52</v>
      </c>
      <c r="U185" s="3">
        <v>4</v>
      </c>
      <c r="V185" s="3" t="s">
        <v>30</v>
      </c>
      <c r="W185" s="4">
        <v>45337</v>
      </c>
      <c r="X185" s="4" t="str">
        <f t="shared" si="2"/>
        <v>Exited</v>
      </c>
      <c r="Y185" s="3" t="s">
        <v>46</v>
      </c>
    </row>
    <row r="186" spans="1:25">
      <c r="A186" s="2">
        <v>10185</v>
      </c>
      <c r="B186" s="3" t="s">
        <v>260</v>
      </c>
      <c r="C186" s="3" t="s">
        <v>41</v>
      </c>
      <c r="D186" s="3">
        <v>50</v>
      </c>
      <c r="E186" s="3" t="s">
        <v>26</v>
      </c>
      <c r="F186" s="3" t="s">
        <v>83</v>
      </c>
      <c r="G186" s="3" t="s">
        <v>44</v>
      </c>
      <c r="H186" s="3" t="s">
        <v>29</v>
      </c>
      <c r="I186" s="4">
        <v>40841</v>
      </c>
      <c r="J186" s="3">
        <v>15</v>
      </c>
      <c r="K186" s="5">
        <v>76692.75</v>
      </c>
      <c r="L186" s="5">
        <v>7825.29</v>
      </c>
      <c r="M186" s="3" t="s">
        <v>30</v>
      </c>
      <c r="N186" s="3">
        <v>1</v>
      </c>
      <c r="O186" s="3">
        <v>1</v>
      </c>
      <c r="P186" s="3">
        <v>4</v>
      </c>
      <c r="Q186" s="3">
        <v>35</v>
      </c>
      <c r="R186" s="3" t="s">
        <v>30</v>
      </c>
      <c r="S186" s="3">
        <v>25</v>
      </c>
      <c r="T186" s="3" t="s">
        <v>52</v>
      </c>
      <c r="U186" s="3">
        <v>18</v>
      </c>
      <c r="V186" s="3" t="s">
        <v>32</v>
      </c>
      <c r="W186" s="4"/>
      <c r="X186" s="4" t="str">
        <f t="shared" si="2"/>
        <v>Active</v>
      </c>
      <c r="Y186" s="3" t="s">
        <v>71</v>
      </c>
    </row>
    <row r="187" spans="1:25">
      <c r="A187" s="2">
        <v>10186</v>
      </c>
      <c r="B187" s="3" t="s">
        <v>261</v>
      </c>
      <c r="C187" s="3" t="s">
        <v>25</v>
      </c>
      <c r="D187" s="3">
        <v>48</v>
      </c>
      <c r="E187" s="3" t="s">
        <v>48</v>
      </c>
      <c r="F187" s="3" t="s">
        <v>200</v>
      </c>
      <c r="G187" s="3" t="s">
        <v>28</v>
      </c>
      <c r="H187" s="3" t="s">
        <v>57</v>
      </c>
      <c r="I187" s="4">
        <v>43319</v>
      </c>
      <c r="J187" s="3">
        <v>8</v>
      </c>
      <c r="K187" s="5">
        <v>35256.800000000003</v>
      </c>
      <c r="L187" s="5">
        <v>3151.67</v>
      </c>
      <c r="M187" s="3" t="s">
        <v>32</v>
      </c>
      <c r="N187" s="3">
        <v>1</v>
      </c>
      <c r="O187" s="3">
        <v>3</v>
      </c>
      <c r="P187" s="3">
        <v>5</v>
      </c>
      <c r="Q187" s="3">
        <v>24</v>
      </c>
      <c r="R187" s="3" t="s">
        <v>30</v>
      </c>
      <c r="S187" s="3">
        <v>1</v>
      </c>
      <c r="T187" s="3" t="s">
        <v>31</v>
      </c>
      <c r="U187" s="3">
        <v>7</v>
      </c>
      <c r="V187" s="3" t="s">
        <v>32</v>
      </c>
      <c r="W187" s="4"/>
      <c r="X187" s="4" t="str">
        <f t="shared" si="2"/>
        <v>Active</v>
      </c>
      <c r="Y187" s="3" t="s">
        <v>75</v>
      </c>
    </row>
    <row r="188" spans="1:25">
      <c r="A188" s="2">
        <v>10187</v>
      </c>
      <c r="B188" s="3" t="s">
        <v>262</v>
      </c>
      <c r="C188" s="3" t="s">
        <v>41</v>
      </c>
      <c r="D188" s="3">
        <v>27</v>
      </c>
      <c r="E188" s="3" t="s">
        <v>73</v>
      </c>
      <c r="F188" s="3" t="s">
        <v>77</v>
      </c>
      <c r="G188" s="3" t="s">
        <v>28</v>
      </c>
      <c r="H188" s="3" t="s">
        <v>29</v>
      </c>
      <c r="I188" s="4">
        <v>42621</v>
      </c>
      <c r="J188" s="3">
        <v>10</v>
      </c>
      <c r="K188" s="5">
        <v>96907.8</v>
      </c>
      <c r="L188" s="5">
        <v>7681.92</v>
      </c>
      <c r="M188" s="3" t="s">
        <v>32</v>
      </c>
      <c r="N188" s="3">
        <v>5</v>
      </c>
      <c r="O188" s="3">
        <v>3</v>
      </c>
      <c r="P188" s="3">
        <v>4</v>
      </c>
      <c r="Q188" s="3">
        <v>17</v>
      </c>
      <c r="R188" s="3" t="s">
        <v>32</v>
      </c>
      <c r="S188" s="3">
        <v>29</v>
      </c>
      <c r="T188" s="3" t="s">
        <v>38</v>
      </c>
      <c r="U188" s="3">
        <v>11</v>
      </c>
      <c r="V188" s="3" t="s">
        <v>32</v>
      </c>
      <c r="W188" s="4"/>
      <c r="X188" s="4" t="str">
        <f t="shared" si="2"/>
        <v>Active</v>
      </c>
      <c r="Y188" s="3" t="s">
        <v>87</v>
      </c>
    </row>
    <row r="189" spans="1:25">
      <c r="A189" s="2">
        <v>10188</v>
      </c>
      <c r="B189" s="3" t="s">
        <v>263</v>
      </c>
      <c r="C189" s="3" t="s">
        <v>41</v>
      </c>
      <c r="D189" s="3">
        <v>35</v>
      </c>
      <c r="E189" s="3" t="s">
        <v>48</v>
      </c>
      <c r="F189" s="3" t="s">
        <v>111</v>
      </c>
      <c r="G189" s="3" t="s">
        <v>28</v>
      </c>
      <c r="H189" s="3" t="s">
        <v>29</v>
      </c>
      <c r="I189" s="4">
        <v>45009</v>
      </c>
      <c r="J189" s="3">
        <v>3</v>
      </c>
      <c r="K189" s="5">
        <v>62754.85</v>
      </c>
      <c r="L189" s="5">
        <v>2259.87</v>
      </c>
      <c r="M189" s="3" t="s">
        <v>32</v>
      </c>
      <c r="N189" s="3">
        <v>1</v>
      </c>
      <c r="O189" s="3">
        <v>4</v>
      </c>
      <c r="P189" s="3">
        <v>3</v>
      </c>
      <c r="Q189" s="3">
        <v>68</v>
      </c>
      <c r="R189" s="3" t="s">
        <v>32</v>
      </c>
      <c r="S189" s="3">
        <v>20</v>
      </c>
      <c r="T189" s="3" t="s">
        <v>52</v>
      </c>
      <c r="U189" s="3">
        <v>3</v>
      </c>
      <c r="V189" s="3" t="s">
        <v>32</v>
      </c>
      <c r="W189" s="4"/>
      <c r="X189" s="4" t="str">
        <f t="shared" si="2"/>
        <v>Active</v>
      </c>
      <c r="Y189" s="3" t="s">
        <v>39</v>
      </c>
    </row>
    <row r="190" spans="1:25">
      <c r="A190" s="2">
        <v>10189</v>
      </c>
      <c r="B190" s="3" t="s">
        <v>264</v>
      </c>
      <c r="C190" s="3" t="s">
        <v>25</v>
      </c>
      <c r="D190" s="3">
        <v>49</v>
      </c>
      <c r="E190" s="3" t="s">
        <v>73</v>
      </c>
      <c r="F190" s="3" t="s">
        <v>95</v>
      </c>
      <c r="G190" s="3" t="s">
        <v>37</v>
      </c>
      <c r="H190" s="3" t="s">
        <v>57</v>
      </c>
      <c r="I190" s="4">
        <v>41433</v>
      </c>
      <c r="J190" s="3">
        <v>13</v>
      </c>
      <c r="K190" s="5">
        <v>52329.69</v>
      </c>
      <c r="L190" s="5">
        <v>5711.59</v>
      </c>
      <c r="M190" s="3" t="s">
        <v>30</v>
      </c>
      <c r="N190" s="3">
        <v>4</v>
      </c>
      <c r="O190" s="3">
        <v>1</v>
      </c>
      <c r="P190" s="3">
        <v>5</v>
      </c>
      <c r="Q190" s="3">
        <v>34</v>
      </c>
      <c r="R190" s="3" t="s">
        <v>32</v>
      </c>
      <c r="S190" s="3">
        <v>23</v>
      </c>
      <c r="T190" s="3" t="s">
        <v>52</v>
      </c>
      <c r="U190" s="3">
        <v>13</v>
      </c>
      <c r="V190" s="3" t="s">
        <v>32</v>
      </c>
      <c r="W190" s="4"/>
      <c r="X190" s="4" t="str">
        <f t="shared" si="2"/>
        <v>Active</v>
      </c>
      <c r="Y190" s="3" t="s">
        <v>65</v>
      </c>
    </row>
    <row r="191" spans="1:25">
      <c r="A191" s="2">
        <v>10190</v>
      </c>
      <c r="B191" s="3" t="s">
        <v>265</v>
      </c>
      <c r="C191" s="3" t="s">
        <v>25</v>
      </c>
      <c r="D191" s="3">
        <v>27</v>
      </c>
      <c r="E191" s="3" t="s">
        <v>73</v>
      </c>
      <c r="F191" s="3" t="s">
        <v>74</v>
      </c>
      <c r="G191" s="3" t="s">
        <v>37</v>
      </c>
      <c r="H191" s="3" t="s">
        <v>57</v>
      </c>
      <c r="I191" s="4">
        <v>44464</v>
      </c>
      <c r="J191" s="3">
        <v>5</v>
      </c>
      <c r="K191" s="5">
        <v>98387.18</v>
      </c>
      <c r="L191" s="5">
        <v>6545.68</v>
      </c>
      <c r="M191" s="3" t="s">
        <v>32</v>
      </c>
      <c r="N191" s="3">
        <v>2</v>
      </c>
      <c r="O191" s="3">
        <v>1</v>
      </c>
      <c r="P191" s="3">
        <v>5</v>
      </c>
      <c r="Q191" s="3">
        <v>63</v>
      </c>
      <c r="R191" s="3" t="s">
        <v>32</v>
      </c>
      <c r="S191" s="3">
        <v>23</v>
      </c>
      <c r="T191" s="3" t="s">
        <v>38</v>
      </c>
      <c r="U191" s="3">
        <v>10</v>
      </c>
      <c r="V191" s="3" t="s">
        <v>32</v>
      </c>
      <c r="W191" s="4"/>
      <c r="X191" s="4" t="str">
        <f t="shared" si="2"/>
        <v>Active</v>
      </c>
      <c r="Y191" s="3" t="s">
        <v>39</v>
      </c>
    </row>
    <row r="192" spans="1:25">
      <c r="A192" s="2">
        <v>10191</v>
      </c>
      <c r="B192" s="3" t="s">
        <v>266</v>
      </c>
      <c r="C192" s="3" t="s">
        <v>25</v>
      </c>
      <c r="D192" s="3">
        <v>57</v>
      </c>
      <c r="E192" s="3" t="s">
        <v>48</v>
      </c>
      <c r="F192" s="3" t="s">
        <v>200</v>
      </c>
      <c r="G192" s="3" t="s">
        <v>28</v>
      </c>
      <c r="H192" s="3" t="s">
        <v>29</v>
      </c>
      <c r="I192" s="4">
        <v>44370</v>
      </c>
      <c r="J192" s="3">
        <v>5</v>
      </c>
      <c r="K192" s="5">
        <v>39127.65</v>
      </c>
      <c r="L192" s="5">
        <v>4463.09</v>
      </c>
      <c r="M192" s="3" t="s">
        <v>32</v>
      </c>
      <c r="N192" s="3">
        <v>2</v>
      </c>
      <c r="O192" s="3">
        <v>4</v>
      </c>
      <c r="P192" s="3">
        <v>3</v>
      </c>
      <c r="Q192" s="3">
        <v>33</v>
      </c>
      <c r="R192" s="3" t="s">
        <v>32</v>
      </c>
      <c r="S192" s="3">
        <v>4</v>
      </c>
      <c r="T192" s="3" t="s">
        <v>52</v>
      </c>
      <c r="U192" s="3">
        <v>1</v>
      </c>
      <c r="V192" s="3" t="s">
        <v>32</v>
      </c>
      <c r="W192" s="4"/>
      <c r="X192" s="4" t="str">
        <f t="shared" si="2"/>
        <v>Active</v>
      </c>
      <c r="Y192" s="3" t="s">
        <v>46</v>
      </c>
    </row>
    <row r="193" spans="1:25">
      <c r="A193" s="2">
        <v>10192</v>
      </c>
      <c r="B193" s="3" t="s">
        <v>267</v>
      </c>
      <c r="C193" s="3" t="s">
        <v>41</v>
      </c>
      <c r="D193" s="3">
        <v>28</v>
      </c>
      <c r="E193" s="3" t="s">
        <v>42</v>
      </c>
      <c r="F193" s="3" t="s">
        <v>176</v>
      </c>
      <c r="G193" s="3" t="s">
        <v>67</v>
      </c>
      <c r="H193" s="3" t="s">
        <v>29</v>
      </c>
      <c r="I193" s="4">
        <v>45613</v>
      </c>
      <c r="J193" s="3">
        <v>2</v>
      </c>
      <c r="K193" s="5">
        <v>70595.92</v>
      </c>
      <c r="L193" s="5">
        <v>4428.1899999999996</v>
      </c>
      <c r="M193" s="3" t="s">
        <v>32</v>
      </c>
      <c r="N193" s="3">
        <v>5</v>
      </c>
      <c r="O193" s="3">
        <v>3</v>
      </c>
      <c r="P193" s="3">
        <v>1</v>
      </c>
      <c r="Q193" s="3">
        <v>47</v>
      </c>
      <c r="R193" s="3" t="s">
        <v>32</v>
      </c>
      <c r="S193" s="3">
        <v>6</v>
      </c>
      <c r="T193" s="3" t="s">
        <v>52</v>
      </c>
      <c r="U193" s="3">
        <v>12</v>
      </c>
      <c r="V193" s="3" t="s">
        <v>32</v>
      </c>
      <c r="W193" s="4"/>
      <c r="X193" s="4" t="str">
        <f t="shared" si="2"/>
        <v>Active</v>
      </c>
      <c r="Y193" s="3" t="s">
        <v>71</v>
      </c>
    </row>
    <row r="194" spans="1:25">
      <c r="A194" s="2">
        <v>10193</v>
      </c>
      <c r="B194" s="3" t="s">
        <v>268</v>
      </c>
      <c r="C194" s="3" t="s">
        <v>41</v>
      </c>
      <c r="D194" s="3">
        <v>51</v>
      </c>
      <c r="E194" s="3" t="s">
        <v>35</v>
      </c>
      <c r="F194" s="3" t="s">
        <v>90</v>
      </c>
      <c r="G194" s="3" t="s">
        <v>37</v>
      </c>
      <c r="H194" s="3" t="s">
        <v>29</v>
      </c>
      <c r="I194" s="4">
        <v>41105</v>
      </c>
      <c r="J194" s="3">
        <v>14</v>
      </c>
      <c r="K194" s="5">
        <v>41625.58</v>
      </c>
      <c r="L194" s="5">
        <v>4763.3599999999997</v>
      </c>
      <c r="M194" s="3" t="s">
        <v>32</v>
      </c>
      <c r="N194" s="3">
        <v>2</v>
      </c>
      <c r="O194" s="3">
        <v>1</v>
      </c>
      <c r="P194" s="3">
        <v>4</v>
      </c>
      <c r="Q194" s="3">
        <v>75</v>
      </c>
      <c r="R194" s="3" t="s">
        <v>32</v>
      </c>
      <c r="S194" s="3">
        <v>19</v>
      </c>
      <c r="T194" s="3" t="s">
        <v>31</v>
      </c>
      <c r="U194" s="3">
        <v>14</v>
      </c>
      <c r="V194" s="3" t="s">
        <v>32</v>
      </c>
      <c r="W194" s="4"/>
      <c r="X194" s="4" t="str">
        <f t="shared" ref="X194:X257" si="3">IF(W194="","Active","Exited")</f>
        <v>Active</v>
      </c>
      <c r="Y194" s="3" t="s">
        <v>33</v>
      </c>
    </row>
    <row r="195" spans="1:25">
      <c r="A195" s="2">
        <v>10194</v>
      </c>
      <c r="B195" s="3" t="s">
        <v>269</v>
      </c>
      <c r="C195" s="3" t="s">
        <v>41</v>
      </c>
      <c r="D195" s="3">
        <v>29</v>
      </c>
      <c r="E195" s="3" t="s">
        <v>73</v>
      </c>
      <c r="F195" s="3" t="s">
        <v>99</v>
      </c>
      <c r="G195" s="3" t="s">
        <v>28</v>
      </c>
      <c r="H195" s="3" t="s">
        <v>57</v>
      </c>
      <c r="I195" s="4">
        <v>43789</v>
      </c>
      <c r="J195" s="3">
        <v>7</v>
      </c>
      <c r="K195" s="5">
        <v>42758.34</v>
      </c>
      <c r="L195" s="5">
        <v>2309.36</v>
      </c>
      <c r="M195" s="3" t="s">
        <v>32</v>
      </c>
      <c r="N195" s="3">
        <v>5</v>
      </c>
      <c r="O195" s="3">
        <v>5</v>
      </c>
      <c r="P195" s="3">
        <v>5</v>
      </c>
      <c r="Q195" s="3">
        <v>28</v>
      </c>
      <c r="R195" s="3" t="s">
        <v>32</v>
      </c>
      <c r="S195" s="3">
        <v>22</v>
      </c>
      <c r="T195" s="3" t="s">
        <v>38</v>
      </c>
      <c r="U195" s="3">
        <v>16</v>
      </c>
      <c r="V195" s="3" t="s">
        <v>32</v>
      </c>
      <c r="W195" s="4"/>
      <c r="X195" s="4" t="str">
        <f t="shared" si="3"/>
        <v>Active</v>
      </c>
      <c r="Y195" s="3" t="s">
        <v>53</v>
      </c>
    </row>
    <row r="196" spans="1:25">
      <c r="A196" s="2">
        <v>10195</v>
      </c>
      <c r="B196" s="3" t="s">
        <v>270</v>
      </c>
      <c r="C196" s="3" t="s">
        <v>25</v>
      </c>
      <c r="D196" s="3">
        <v>36</v>
      </c>
      <c r="E196" s="3" t="s">
        <v>73</v>
      </c>
      <c r="F196" s="3" t="s">
        <v>77</v>
      </c>
      <c r="G196" s="3" t="s">
        <v>37</v>
      </c>
      <c r="H196" s="3" t="s">
        <v>45</v>
      </c>
      <c r="I196" s="4">
        <v>43331</v>
      </c>
      <c r="J196" s="3">
        <v>8</v>
      </c>
      <c r="K196" s="5">
        <v>48919.27</v>
      </c>
      <c r="L196" s="5">
        <v>6234.12</v>
      </c>
      <c r="M196" s="3" t="s">
        <v>32</v>
      </c>
      <c r="N196" s="3">
        <v>5</v>
      </c>
      <c r="O196" s="3">
        <v>1</v>
      </c>
      <c r="P196" s="3">
        <v>1</v>
      </c>
      <c r="Q196" s="3">
        <v>20</v>
      </c>
      <c r="R196" s="3" t="s">
        <v>32</v>
      </c>
      <c r="S196" s="3">
        <v>16</v>
      </c>
      <c r="T196" s="3" t="s">
        <v>38</v>
      </c>
      <c r="U196" s="3">
        <v>5</v>
      </c>
      <c r="V196" s="3" t="s">
        <v>30</v>
      </c>
      <c r="W196" s="4">
        <v>45568</v>
      </c>
      <c r="X196" s="4" t="str">
        <f t="shared" si="3"/>
        <v>Exited</v>
      </c>
      <c r="Y196" s="3" t="s">
        <v>46</v>
      </c>
    </row>
    <row r="197" spans="1:25">
      <c r="A197" s="2">
        <v>10196</v>
      </c>
      <c r="B197" s="3" t="s">
        <v>271</v>
      </c>
      <c r="C197" s="3" t="s">
        <v>25</v>
      </c>
      <c r="D197" s="3">
        <v>24</v>
      </c>
      <c r="E197" s="3" t="s">
        <v>60</v>
      </c>
      <c r="F197" s="3" t="s">
        <v>64</v>
      </c>
      <c r="G197" s="3" t="s">
        <v>37</v>
      </c>
      <c r="H197" s="3" t="s">
        <v>57</v>
      </c>
      <c r="I197" s="4">
        <v>43482</v>
      </c>
      <c r="J197" s="3">
        <v>7</v>
      </c>
      <c r="K197" s="5">
        <v>106282.75</v>
      </c>
      <c r="L197" s="5">
        <v>3214.84</v>
      </c>
      <c r="M197" s="3" t="s">
        <v>32</v>
      </c>
      <c r="N197" s="3">
        <v>5</v>
      </c>
      <c r="O197" s="3">
        <v>4</v>
      </c>
      <c r="P197" s="3">
        <v>1</v>
      </c>
      <c r="Q197" s="3">
        <v>63</v>
      </c>
      <c r="R197" s="3" t="s">
        <v>32</v>
      </c>
      <c r="S197" s="3">
        <v>4</v>
      </c>
      <c r="T197" s="3" t="s">
        <v>38</v>
      </c>
      <c r="U197" s="3">
        <v>20</v>
      </c>
      <c r="V197" s="3" t="s">
        <v>30</v>
      </c>
      <c r="W197" s="4">
        <v>45388</v>
      </c>
      <c r="X197" s="4" t="str">
        <f t="shared" si="3"/>
        <v>Exited</v>
      </c>
      <c r="Y197" s="3" t="s">
        <v>33</v>
      </c>
    </row>
    <row r="198" spans="1:25">
      <c r="A198" s="2">
        <v>10197</v>
      </c>
      <c r="B198" s="3" t="s">
        <v>272</v>
      </c>
      <c r="C198" s="3" t="s">
        <v>25</v>
      </c>
      <c r="D198" s="3">
        <v>21</v>
      </c>
      <c r="E198" s="3" t="s">
        <v>35</v>
      </c>
      <c r="F198" s="3" t="s">
        <v>36</v>
      </c>
      <c r="G198" s="3" t="s">
        <v>37</v>
      </c>
      <c r="H198" s="3" t="s">
        <v>45</v>
      </c>
      <c r="I198" s="4">
        <v>45401</v>
      </c>
      <c r="J198" s="3">
        <v>2</v>
      </c>
      <c r="K198" s="5">
        <v>50229.9</v>
      </c>
      <c r="L198" s="5">
        <v>4323.99</v>
      </c>
      <c r="M198" s="3" t="s">
        <v>30</v>
      </c>
      <c r="N198" s="3">
        <v>4</v>
      </c>
      <c r="O198" s="3">
        <v>3</v>
      </c>
      <c r="P198" s="3">
        <v>3</v>
      </c>
      <c r="Q198" s="3">
        <v>6</v>
      </c>
      <c r="R198" s="3" t="s">
        <v>32</v>
      </c>
      <c r="S198" s="3">
        <v>28</v>
      </c>
      <c r="T198" s="3" t="s">
        <v>38</v>
      </c>
      <c r="U198" s="3">
        <v>10</v>
      </c>
      <c r="V198" s="3" t="s">
        <v>32</v>
      </c>
      <c r="W198" s="4"/>
      <c r="X198" s="4" t="str">
        <f t="shared" si="3"/>
        <v>Active</v>
      </c>
      <c r="Y198" s="3" t="s">
        <v>81</v>
      </c>
    </row>
    <row r="199" spans="1:25">
      <c r="A199" s="2">
        <v>10198</v>
      </c>
      <c r="B199" s="3" t="s">
        <v>115</v>
      </c>
      <c r="C199" s="3" t="s">
        <v>41</v>
      </c>
      <c r="D199" s="3">
        <v>49</v>
      </c>
      <c r="E199" s="3" t="s">
        <v>42</v>
      </c>
      <c r="F199" s="3" t="s">
        <v>176</v>
      </c>
      <c r="G199" s="3" t="s">
        <v>37</v>
      </c>
      <c r="H199" s="3" t="s">
        <v>29</v>
      </c>
      <c r="I199" s="4">
        <v>40196</v>
      </c>
      <c r="J199" s="3">
        <v>16</v>
      </c>
      <c r="K199" s="5">
        <v>53774.64</v>
      </c>
      <c r="L199" s="5">
        <v>6876.96</v>
      </c>
      <c r="M199" s="3" t="s">
        <v>32</v>
      </c>
      <c r="N199" s="3">
        <v>3</v>
      </c>
      <c r="O199" s="3">
        <v>5</v>
      </c>
      <c r="P199" s="3">
        <v>5</v>
      </c>
      <c r="Q199" s="3">
        <v>47</v>
      </c>
      <c r="R199" s="3" t="s">
        <v>32</v>
      </c>
      <c r="S199" s="3">
        <v>2</v>
      </c>
      <c r="T199" s="3" t="s">
        <v>52</v>
      </c>
      <c r="U199" s="3">
        <v>15</v>
      </c>
      <c r="V199" s="3" t="s">
        <v>30</v>
      </c>
      <c r="W199" s="4">
        <v>46030</v>
      </c>
      <c r="X199" s="4" t="str">
        <f t="shared" si="3"/>
        <v>Exited</v>
      </c>
      <c r="Y199" s="3" t="s">
        <v>53</v>
      </c>
    </row>
    <row r="200" spans="1:25">
      <c r="A200" s="2">
        <v>10199</v>
      </c>
      <c r="B200" s="3" t="s">
        <v>273</v>
      </c>
      <c r="C200" s="3" t="s">
        <v>41</v>
      </c>
      <c r="D200" s="3">
        <v>60</v>
      </c>
      <c r="E200" s="3" t="s">
        <v>26</v>
      </c>
      <c r="F200" s="3" t="s">
        <v>27</v>
      </c>
      <c r="G200" s="3" t="s">
        <v>28</v>
      </c>
      <c r="H200" s="3" t="s">
        <v>57</v>
      </c>
      <c r="I200" s="4">
        <v>41945</v>
      </c>
      <c r="J200" s="3">
        <v>12</v>
      </c>
      <c r="K200" s="5">
        <v>74707.990000000005</v>
      </c>
      <c r="L200" s="5">
        <v>9083.35</v>
      </c>
      <c r="M200" s="3" t="s">
        <v>32</v>
      </c>
      <c r="N200" s="3">
        <v>1</v>
      </c>
      <c r="O200" s="3">
        <v>4</v>
      </c>
      <c r="P200" s="3">
        <v>1</v>
      </c>
      <c r="Q200" s="3">
        <v>75</v>
      </c>
      <c r="R200" s="3" t="s">
        <v>30</v>
      </c>
      <c r="S200" s="3">
        <v>29</v>
      </c>
      <c r="T200" s="3" t="s">
        <v>38</v>
      </c>
      <c r="U200" s="3">
        <v>14</v>
      </c>
      <c r="V200" s="3" t="s">
        <v>32</v>
      </c>
      <c r="W200" s="4"/>
      <c r="X200" s="4" t="str">
        <f t="shared" si="3"/>
        <v>Active</v>
      </c>
      <c r="Y200" s="3" t="s">
        <v>58</v>
      </c>
    </row>
    <row r="201" spans="1:25">
      <c r="A201" s="2">
        <v>10200</v>
      </c>
      <c r="B201" s="3" t="s">
        <v>274</v>
      </c>
      <c r="C201" s="3" t="s">
        <v>25</v>
      </c>
      <c r="D201" s="3">
        <v>54</v>
      </c>
      <c r="E201" s="3" t="s">
        <v>48</v>
      </c>
      <c r="F201" s="3" t="s">
        <v>125</v>
      </c>
      <c r="G201" s="3" t="s">
        <v>37</v>
      </c>
      <c r="H201" s="3" t="s">
        <v>57</v>
      </c>
      <c r="I201" s="4">
        <v>44972</v>
      </c>
      <c r="J201" s="3">
        <v>3</v>
      </c>
      <c r="K201" s="5">
        <v>61561.26</v>
      </c>
      <c r="L201" s="5">
        <v>5299.39</v>
      </c>
      <c r="M201" s="3" t="s">
        <v>32</v>
      </c>
      <c r="N201" s="3">
        <v>2</v>
      </c>
      <c r="O201" s="3">
        <v>5</v>
      </c>
      <c r="P201" s="3">
        <v>2</v>
      </c>
      <c r="Q201" s="3">
        <v>16</v>
      </c>
      <c r="R201" s="3" t="s">
        <v>30</v>
      </c>
      <c r="S201" s="3">
        <v>22</v>
      </c>
      <c r="T201" s="3" t="s">
        <v>31</v>
      </c>
      <c r="U201" s="3">
        <v>19</v>
      </c>
      <c r="V201" s="3" t="s">
        <v>32</v>
      </c>
      <c r="W201" s="4"/>
      <c r="X201" s="4" t="str">
        <f t="shared" si="3"/>
        <v>Active</v>
      </c>
      <c r="Y201" s="3" t="s">
        <v>58</v>
      </c>
    </row>
    <row r="202" spans="1:25">
      <c r="A202" s="2">
        <v>10201</v>
      </c>
      <c r="B202" s="3" t="s">
        <v>275</v>
      </c>
      <c r="C202" s="3" t="s">
        <v>41</v>
      </c>
      <c r="D202" s="3">
        <v>36</v>
      </c>
      <c r="E202" s="3" t="s">
        <v>102</v>
      </c>
      <c r="F202" s="3" t="s">
        <v>103</v>
      </c>
      <c r="G202" s="3" t="s">
        <v>78</v>
      </c>
      <c r="H202" s="3" t="s">
        <v>57</v>
      </c>
      <c r="I202" s="4">
        <v>43888</v>
      </c>
      <c r="J202" s="3">
        <v>6</v>
      </c>
      <c r="K202" s="5">
        <v>71215.86</v>
      </c>
      <c r="L202" s="5">
        <v>2703.6</v>
      </c>
      <c r="M202" s="3" t="s">
        <v>32</v>
      </c>
      <c r="N202" s="3">
        <v>5</v>
      </c>
      <c r="O202" s="3">
        <v>3</v>
      </c>
      <c r="P202" s="3">
        <v>5</v>
      </c>
      <c r="Q202" s="3">
        <v>40</v>
      </c>
      <c r="R202" s="3" t="s">
        <v>32</v>
      </c>
      <c r="S202" s="3">
        <v>30</v>
      </c>
      <c r="T202" s="3" t="s">
        <v>31</v>
      </c>
      <c r="U202" s="3">
        <v>20</v>
      </c>
      <c r="V202" s="3" t="s">
        <v>32</v>
      </c>
      <c r="W202" s="4"/>
      <c r="X202" s="4" t="str">
        <f t="shared" si="3"/>
        <v>Active</v>
      </c>
      <c r="Y202" s="3" t="s">
        <v>68</v>
      </c>
    </row>
    <row r="203" spans="1:25">
      <c r="A203" s="2">
        <v>10202</v>
      </c>
      <c r="B203" s="3" t="s">
        <v>276</v>
      </c>
      <c r="C203" s="3" t="s">
        <v>41</v>
      </c>
      <c r="D203" s="3">
        <v>29</v>
      </c>
      <c r="E203" s="3" t="s">
        <v>48</v>
      </c>
      <c r="F203" s="3" t="s">
        <v>111</v>
      </c>
      <c r="G203" s="3" t="s">
        <v>37</v>
      </c>
      <c r="H203" s="3" t="s">
        <v>45</v>
      </c>
      <c r="I203" s="4">
        <v>45396</v>
      </c>
      <c r="J203" s="3">
        <v>2</v>
      </c>
      <c r="K203" s="5">
        <v>52730.98</v>
      </c>
      <c r="L203" s="5">
        <v>1845.73</v>
      </c>
      <c r="M203" s="3" t="s">
        <v>32</v>
      </c>
      <c r="N203" s="3">
        <v>4</v>
      </c>
      <c r="O203" s="3">
        <v>5</v>
      </c>
      <c r="P203" s="3">
        <v>5</v>
      </c>
      <c r="Q203" s="3">
        <v>53</v>
      </c>
      <c r="R203" s="3" t="s">
        <v>32</v>
      </c>
      <c r="S203" s="3">
        <v>29</v>
      </c>
      <c r="T203" s="3" t="s">
        <v>31</v>
      </c>
      <c r="U203" s="3">
        <v>9</v>
      </c>
      <c r="V203" s="3" t="s">
        <v>32</v>
      </c>
      <c r="W203" s="4"/>
      <c r="X203" s="4" t="str">
        <f t="shared" si="3"/>
        <v>Active</v>
      </c>
      <c r="Y203" s="3" t="s">
        <v>33</v>
      </c>
    </row>
    <row r="204" spans="1:25">
      <c r="A204" s="2">
        <v>10203</v>
      </c>
      <c r="B204" s="3" t="s">
        <v>277</v>
      </c>
      <c r="C204" s="3" t="s">
        <v>25</v>
      </c>
      <c r="D204" s="3">
        <v>22</v>
      </c>
      <c r="E204" s="3" t="s">
        <v>73</v>
      </c>
      <c r="F204" s="3" t="s">
        <v>74</v>
      </c>
      <c r="G204" s="3" t="s">
        <v>67</v>
      </c>
      <c r="H204" s="3" t="s">
        <v>29</v>
      </c>
      <c r="I204" s="4">
        <v>41816</v>
      </c>
      <c r="J204" s="3">
        <v>12</v>
      </c>
      <c r="K204" s="5">
        <v>56018.7</v>
      </c>
      <c r="L204" s="5">
        <v>6840.96</v>
      </c>
      <c r="M204" s="3" t="s">
        <v>32</v>
      </c>
      <c r="N204" s="3">
        <v>3</v>
      </c>
      <c r="O204" s="3">
        <v>2</v>
      </c>
      <c r="P204" s="3">
        <v>1</v>
      </c>
      <c r="Q204" s="3">
        <v>37</v>
      </c>
      <c r="R204" s="3" t="s">
        <v>30</v>
      </c>
      <c r="S204" s="3">
        <v>18</v>
      </c>
      <c r="T204" s="3" t="s">
        <v>52</v>
      </c>
      <c r="U204" s="3">
        <v>11</v>
      </c>
      <c r="V204" s="3" t="s">
        <v>32</v>
      </c>
      <c r="W204" s="4"/>
      <c r="X204" s="4" t="str">
        <f t="shared" si="3"/>
        <v>Active</v>
      </c>
      <c r="Y204" s="3" t="s">
        <v>65</v>
      </c>
    </row>
    <row r="205" spans="1:25">
      <c r="A205" s="2">
        <v>10204</v>
      </c>
      <c r="B205" s="3" t="s">
        <v>278</v>
      </c>
      <c r="C205" s="3" t="s">
        <v>25</v>
      </c>
      <c r="D205" s="3">
        <v>36</v>
      </c>
      <c r="E205" s="3" t="s">
        <v>60</v>
      </c>
      <c r="F205" s="3" t="s">
        <v>122</v>
      </c>
      <c r="G205" s="3" t="s">
        <v>37</v>
      </c>
      <c r="H205" s="3" t="s">
        <v>29</v>
      </c>
      <c r="I205" s="4">
        <v>43304</v>
      </c>
      <c r="J205" s="3">
        <v>8</v>
      </c>
      <c r="K205" s="5">
        <v>74066.600000000006</v>
      </c>
      <c r="L205" s="5">
        <v>10693.09</v>
      </c>
      <c r="M205" s="3" t="s">
        <v>32</v>
      </c>
      <c r="N205" s="3">
        <v>3</v>
      </c>
      <c r="O205" s="3">
        <v>5</v>
      </c>
      <c r="P205" s="3">
        <v>1</v>
      </c>
      <c r="Q205" s="3">
        <v>1</v>
      </c>
      <c r="R205" s="3" t="s">
        <v>32</v>
      </c>
      <c r="S205" s="3">
        <v>7</v>
      </c>
      <c r="T205" s="3" t="s">
        <v>31</v>
      </c>
      <c r="U205" s="3">
        <v>14</v>
      </c>
      <c r="V205" s="3" t="s">
        <v>32</v>
      </c>
      <c r="W205" s="4"/>
      <c r="X205" s="4" t="str">
        <f t="shared" si="3"/>
        <v>Active</v>
      </c>
      <c r="Y205" s="3" t="s">
        <v>75</v>
      </c>
    </row>
    <row r="206" spans="1:25">
      <c r="A206" s="2">
        <v>10205</v>
      </c>
      <c r="B206" s="3" t="s">
        <v>279</v>
      </c>
      <c r="C206" s="3" t="s">
        <v>41</v>
      </c>
      <c r="D206" s="3">
        <v>59</v>
      </c>
      <c r="E206" s="3" t="s">
        <v>26</v>
      </c>
      <c r="F206" s="3" t="s">
        <v>27</v>
      </c>
      <c r="G206" s="3" t="s">
        <v>28</v>
      </c>
      <c r="H206" s="3" t="s">
        <v>29</v>
      </c>
      <c r="I206" s="4">
        <v>40789</v>
      </c>
      <c r="J206" s="3">
        <v>15</v>
      </c>
      <c r="K206" s="5">
        <v>57153.48</v>
      </c>
      <c r="L206" s="5">
        <v>2434.36</v>
      </c>
      <c r="M206" s="3" t="s">
        <v>32</v>
      </c>
      <c r="N206" s="3">
        <v>4</v>
      </c>
      <c r="O206" s="3">
        <v>1</v>
      </c>
      <c r="P206" s="3">
        <v>4</v>
      </c>
      <c r="Q206" s="3">
        <v>35</v>
      </c>
      <c r="R206" s="3" t="s">
        <v>32</v>
      </c>
      <c r="S206" s="3">
        <v>5</v>
      </c>
      <c r="T206" s="3" t="s">
        <v>52</v>
      </c>
      <c r="U206" s="3">
        <v>18</v>
      </c>
      <c r="V206" s="3" t="s">
        <v>32</v>
      </c>
      <c r="W206" s="4"/>
      <c r="X206" s="4" t="str">
        <f t="shared" si="3"/>
        <v>Active</v>
      </c>
      <c r="Y206" s="3" t="s">
        <v>39</v>
      </c>
    </row>
    <row r="207" spans="1:25">
      <c r="A207" s="2">
        <v>10206</v>
      </c>
      <c r="B207" s="3" t="s">
        <v>280</v>
      </c>
      <c r="C207" s="3" t="s">
        <v>41</v>
      </c>
      <c r="D207" s="3">
        <v>30</v>
      </c>
      <c r="E207" s="3" t="s">
        <v>42</v>
      </c>
      <c r="F207" s="3" t="s">
        <v>127</v>
      </c>
      <c r="G207" s="3" t="s">
        <v>78</v>
      </c>
      <c r="H207" s="3" t="s">
        <v>45</v>
      </c>
      <c r="I207" s="4">
        <v>40595</v>
      </c>
      <c r="J207" s="3">
        <v>15</v>
      </c>
      <c r="K207" s="5">
        <v>77551.350000000006</v>
      </c>
      <c r="L207" s="5">
        <v>7855.77</v>
      </c>
      <c r="M207" s="3" t="s">
        <v>32</v>
      </c>
      <c r="N207" s="3">
        <v>3</v>
      </c>
      <c r="O207" s="3">
        <v>4</v>
      </c>
      <c r="P207" s="3">
        <v>5</v>
      </c>
      <c r="Q207" s="3">
        <v>70</v>
      </c>
      <c r="R207" s="3" t="s">
        <v>32</v>
      </c>
      <c r="S207" s="3">
        <v>26</v>
      </c>
      <c r="T207" s="3" t="s">
        <v>31</v>
      </c>
      <c r="U207" s="3">
        <v>10</v>
      </c>
      <c r="V207" s="3" t="s">
        <v>32</v>
      </c>
      <c r="W207" s="4"/>
      <c r="X207" s="4" t="str">
        <f t="shared" si="3"/>
        <v>Active</v>
      </c>
      <c r="Y207" s="3" t="s">
        <v>87</v>
      </c>
    </row>
    <row r="208" spans="1:25">
      <c r="A208" s="2">
        <v>10207</v>
      </c>
      <c r="B208" s="3" t="s">
        <v>281</v>
      </c>
      <c r="C208" s="3" t="s">
        <v>25</v>
      </c>
      <c r="D208" s="3">
        <v>47</v>
      </c>
      <c r="E208" s="3" t="s">
        <v>60</v>
      </c>
      <c r="F208" s="3" t="s">
        <v>180</v>
      </c>
      <c r="G208" s="3" t="s">
        <v>67</v>
      </c>
      <c r="H208" s="3" t="s">
        <v>29</v>
      </c>
      <c r="I208" s="4">
        <v>41926</v>
      </c>
      <c r="J208" s="3">
        <v>12</v>
      </c>
      <c r="K208" s="5">
        <v>94750.09</v>
      </c>
      <c r="L208" s="5">
        <v>5972.92</v>
      </c>
      <c r="M208" s="3" t="s">
        <v>30</v>
      </c>
      <c r="N208" s="3">
        <v>5</v>
      </c>
      <c r="O208" s="3">
        <v>5</v>
      </c>
      <c r="P208" s="3">
        <v>4</v>
      </c>
      <c r="Q208" s="3">
        <v>71</v>
      </c>
      <c r="R208" s="3" t="s">
        <v>32</v>
      </c>
      <c r="S208" s="3">
        <v>21</v>
      </c>
      <c r="T208" s="3" t="s">
        <v>52</v>
      </c>
      <c r="U208" s="3">
        <v>3</v>
      </c>
      <c r="V208" s="3" t="s">
        <v>32</v>
      </c>
      <c r="W208" s="4"/>
      <c r="X208" s="4" t="str">
        <f t="shared" si="3"/>
        <v>Active</v>
      </c>
      <c r="Y208" s="3" t="s">
        <v>71</v>
      </c>
    </row>
    <row r="209" spans="1:25">
      <c r="A209" s="2">
        <v>10208</v>
      </c>
      <c r="B209" s="3" t="s">
        <v>282</v>
      </c>
      <c r="C209" s="3" t="s">
        <v>25</v>
      </c>
      <c r="D209" s="3">
        <v>60</v>
      </c>
      <c r="E209" s="3" t="s">
        <v>26</v>
      </c>
      <c r="F209" s="3" t="s">
        <v>105</v>
      </c>
      <c r="G209" s="3" t="s">
        <v>37</v>
      </c>
      <c r="H209" s="3" t="s">
        <v>57</v>
      </c>
      <c r="I209" s="4">
        <v>43303</v>
      </c>
      <c r="J209" s="3">
        <v>8</v>
      </c>
      <c r="K209" s="5">
        <v>104535.61</v>
      </c>
      <c r="L209" s="5">
        <v>14932.74</v>
      </c>
      <c r="M209" s="3" t="s">
        <v>32</v>
      </c>
      <c r="N209" s="3">
        <v>5</v>
      </c>
      <c r="O209" s="3">
        <v>3</v>
      </c>
      <c r="P209" s="3">
        <v>1</v>
      </c>
      <c r="Q209" s="3">
        <v>66</v>
      </c>
      <c r="R209" s="3" t="s">
        <v>32</v>
      </c>
      <c r="S209" s="3">
        <v>12</v>
      </c>
      <c r="T209" s="3" t="s">
        <v>31</v>
      </c>
      <c r="U209" s="3">
        <v>16</v>
      </c>
      <c r="V209" s="3" t="s">
        <v>32</v>
      </c>
      <c r="W209" s="4"/>
      <c r="X209" s="4" t="str">
        <f t="shared" si="3"/>
        <v>Active</v>
      </c>
      <c r="Y209" s="3" t="s">
        <v>39</v>
      </c>
    </row>
    <row r="210" spans="1:25">
      <c r="A210" s="2">
        <v>10209</v>
      </c>
      <c r="B210" s="3" t="s">
        <v>283</v>
      </c>
      <c r="C210" s="3" t="s">
        <v>41</v>
      </c>
      <c r="D210" s="3">
        <v>53</v>
      </c>
      <c r="E210" s="3" t="s">
        <v>42</v>
      </c>
      <c r="F210" s="3" t="s">
        <v>176</v>
      </c>
      <c r="G210" s="3" t="s">
        <v>28</v>
      </c>
      <c r="H210" s="3" t="s">
        <v>45</v>
      </c>
      <c r="I210" s="4">
        <v>44547</v>
      </c>
      <c r="J210" s="3">
        <v>5</v>
      </c>
      <c r="K210" s="5">
        <v>35403.18</v>
      </c>
      <c r="L210" s="5">
        <v>1009.39</v>
      </c>
      <c r="M210" s="3" t="s">
        <v>32</v>
      </c>
      <c r="N210" s="3">
        <v>2</v>
      </c>
      <c r="O210" s="3">
        <v>4</v>
      </c>
      <c r="P210" s="3">
        <v>1</v>
      </c>
      <c r="Q210" s="3">
        <v>26</v>
      </c>
      <c r="R210" s="3" t="s">
        <v>32</v>
      </c>
      <c r="S210" s="3">
        <v>23</v>
      </c>
      <c r="T210" s="3" t="s">
        <v>31</v>
      </c>
      <c r="U210" s="3">
        <v>13</v>
      </c>
      <c r="V210" s="3" t="s">
        <v>32</v>
      </c>
      <c r="W210" s="4"/>
      <c r="X210" s="4" t="str">
        <f t="shared" si="3"/>
        <v>Active</v>
      </c>
      <c r="Y210" s="3" t="s">
        <v>65</v>
      </c>
    </row>
    <row r="211" spans="1:25">
      <c r="A211" s="2">
        <v>10210</v>
      </c>
      <c r="B211" s="3" t="s">
        <v>284</v>
      </c>
      <c r="C211" s="3" t="s">
        <v>25</v>
      </c>
      <c r="D211" s="3">
        <v>42</v>
      </c>
      <c r="E211" s="3" t="s">
        <v>42</v>
      </c>
      <c r="F211" s="3" t="s">
        <v>176</v>
      </c>
      <c r="G211" s="3" t="s">
        <v>67</v>
      </c>
      <c r="H211" s="3" t="s">
        <v>29</v>
      </c>
      <c r="I211" s="4">
        <v>42242</v>
      </c>
      <c r="J211" s="3">
        <v>11</v>
      </c>
      <c r="K211" s="5">
        <v>65694.63</v>
      </c>
      <c r="L211" s="5">
        <v>6224.24</v>
      </c>
      <c r="M211" s="3" t="s">
        <v>30</v>
      </c>
      <c r="N211" s="3">
        <v>3</v>
      </c>
      <c r="O211" s="3">
        <v>4</v>
      </c>
      <c r="P211" s="3">
        <v>4</v>
      </c>
      <c r="Q211" s="3">
        <v>57</v>
      </c>
      <c r="R211" s="3" t="s">
        <v>32</v>
      </c>
      <c r="S211" s="3">
        <v>14</v>
      </c>
      <c r="T211" s="3" t="s">
        <v>38</v>
      </c>
      <c r="U211" s="3">
        <v>0</v>
      </c>
      <c r="V211" s="3" t="s">
        <v>32</v>
      </c>
      <c r="W211" s="4"/>
      <c r="X211" s="4" t="str">
        <f t="shared" si="3"/>
        <v>Active</v>
      </c>
      <c r="Y211" s="3" t="s">
        <v>65</v>
      </c>
    </row>
    <row r="212" spans="1:25">
      <c r="A212" s="2">
        <v>10211</v>
      </c>
      <c r="B212" s="3" t="s">
        <v>285</v>
      </c>
      <c r="C212" s="3" t="s">
        <v>25</v>
      </c>
      <c r="D212" s="3">
        <v>58</v>
      </c>
      <c r="E212" s="3" t="s">
        <v>42</v>
      </c>
      <c r="F212" s="3" t="s">
        <v>176</v>
      </c>
      <c r="G212" s="3" t="s">
        <v>28</v>
      </c>
      <c r="H212" s="3" t="s">
        <v>45</v>
      </c>
      <c r="I212" s="4">
        <v>41048</v>
      </c>
      <c r="J212" s="3">
        <v>14</v>
      </c>
      <c r="K212" s="5">
        <v>50941.01</v>
      </c>
      <c r="L212" s="5">
        <v>5560.94</v>
      </c>
      <c r="M212" s="3" t="s">
        <v>32</v>
      </c>
      <c r="N212" s="3">
        <v>3</v>
      </c>
      <c r="O212" s="3">
        <v>4</v>
      </c>
      <c r="P212" s="3">
        <v>4</v>
      </c>
      <c r="Q212" s="3">
        <v>50</v>
      </c>
      <c r="R212" s="3" t="s">
        <v>32</v>
      </c>
      <c r="S212" s="3">
        <v>1</v>
      </c>
      <c r="T212" s="3" t="s">
        <v>38</v>
      </c>
      <c r="U212" s="3">
        <v>5</v>
      </c>
      <c r="V212" s="3" t="s">
        <v>32</v>
      </c>
      <c r="W212" s="4"/>
      <c r="X212" s="4" t="str">
        <f t="shared" si="3"/>
        <v>Active</v>
      </c>
      <c r="Y212" s="3" t="s">
        <v>87</v>
      </c>
    </row>
    <row r="213" spans="1:25">
      <c r="A213" s="2">
        <v>10212</v>
      </c>
      <c r="B213" s="3" t="s">
        <v>286</v>
      </c>
      <c r="C213" s="3" t="s">
        <v>41</v>
      </c>
      <c r="D213" s="3">
        <v>30</v>
      </c>
      <c r="E213" s="3" t="s">
        <v>102</v>
      </c>
      <c r="F213" s="3" t="s">
        <v>116</v>
      </c>
      <c r="G213" s="3" t="s">
        <v>78</v>
      </c>
      <c r="H213" s="3" t="s">
        <v>29</v>
      </c>
      <c r="I213" s="4">
        <v>44713</v>
      </c>
      <c r="J213" s="3">
        <v>4</v>
      </c>
      <c r="K213" s="5">
        <v>74364.509999999995</v>
      </c>
      <c r="L213" s="5">
        <v>2854.01</v>
      </c>
      <c r="M213" s="3" t="s">
        <v>30</v>
      </c>
      <c r="N213" s="3">
        <v>5</v>
      </c>
      <c r="O213" s="3">
        <v>5</v>
      </c>
      <c r="P213" s="3">
        <v>4</v>
      </c>
      <c r="Q213" s="3">
        <v>68</v>
      </c>
      <c r="R213" s="3" t="s">
        <v>32</v>
      </c>
      <c r="S213" s="3">
        <v>3</v>
      </c>
      <c r="T213" s="3" t="s">
        <v>38</v>
      </c>
      <c r="U213" s="3">
        <v>6</v>
      </c>
      <c r="V213" s="3" t="s">
        <v>32</v>
      </c>
      <c r="W213" s="4"/>
      <c r="X213" s="4" t="str">
        <f t="shared" si="3"/>
        <v>Active</v>
      </c>
      <c r="Y213" s="3" t="s">
        <v>75</v>
      </c>
    </row>
    <row r="214" spans="1:25">
      <c r="A214" s="2">
        <v>10213</v>
      </c>
      <c r="B214" s="3" t="s">
        <v>287</v>
      </c>
      <c r="C214" s="3" t="s">
        <v>41</v>
      </c>
      <c r="D214" s="3">
        <v>53</v>
      </c>
      <c r="E214" s="3" t="s">
        <v>26</v>
      </c>
      <c r="F214" s="3" t="s">
        <v>27</v>
      </c>
      <c r="G214" s="3" t="s">
        <v>28</v>
      </c>
      <c r="H214" s="3" t="s">
        <v>45</v>
      </c>
      <c r="I214" s="4">
        <v>42249</v>
      </c>
      <c r="J214" s="3">
        <v>11</v>
      </c>
      <c r="K214" s="5">
        <v>57631.199999999997</v>
      </c>
      <c r="L214" s="5">
        <v>2511.37</v>
      </c>
      <c r="M214" s="3" t="s">
        <v>32</v>
      </c>
      <c r="N214" s="3">
        <v>1</v>
      </c>
      <c r="O214" s="3">
        <v>5</v>
      </c>
      <c r="P214" s="3">
        <v>4</v>
      </c>
      <c r="Q214" s="3">
        <v>70</v>
      </c>
      <c r="R214" s="3" t="s">
        <v>30</v>
      </c>
      <c r="S214" s="3">
        <v>22</v>
      </c>
      <c r="T214" s="3" t="s">
        <v>52</v>
      </c>
      <c r="U214" s="3">
        <v>8</v>
      </c>
      <c r="V214" s="3" t="s">
        <v>30</v>
      </c>
      <c r="W214" s="4">
        <v>46048</v>
      </c>
      <c r="X214" s="4" t="str">
        <f t="shared" si="3"/>
        <v>Exited</v>
      </c>
      <c r="Y214" s="3" t="s">
        <v>81</v>
      </c>
    </row>
    <row r="215" spans="1:25">
      <c r="A215" s="2">
        <v>10214</v>
      </c>
      <c r="B215" s="3" t="s">
        <v>147</v>
      </c>
      <c r="C215" s="3" t="s">
        <v>41</v>
      </c>
      <c r="D215" s="3">
        <v>29</v>
      </c>
      <c r="E215" s="3" t="s">
        <v>48</v>
      </c>
      <c r="F215" s="3" t="s">
        <v>111</v>
      </c>
      <c r="G215" s="3" t="s">
        <v>28</v>
      </c>
      <c r="H215" s="3" t="s">
        <v>45</v>
      </c>
      <c r="I215" s="4">
        <v>40750</v>
      </c>
      <c r="J215" s="3">
        <v>15</v>
      </c>
      <c r="K215" s="5">
        <v>84506.52</v>
      </c>
      <c r="L215" s="5">
        <v>5181.28</v>
      </c>
      <c r="M215" s="3" t="s">
        <v>32</v>
      </c>
      <c r="N215" s="3">
        <v>5</v>
      </c>
      <c r="O215" s="3">
        <v>3</v>
      </c>
      <c r="P215" s="3">
        <v>5</v>
      </c>
      <c r="Q215" s="3">
        <v>19</v>
      </c>
      <c r="R215" s="3" t="s">
        <v>32</v>
      </c>
      <c r="S215" s="3">
        <v>12</v>
      </c>
      <c r="T215" s="3" t="s">
        <v>38</v>
      </c>
      <c r="U215" s="3">
        <v>13</v>
      </c>
      <c r="V215" s="3" t="s">
        <v>32</v>
      </c>
      <c r="W215" s="4"/>
      <c r="X215" s="4" t="str">
        <f t="shared" si="3"/>
        <v>Active</v>
      </c>
      <c r="Y215" s="3" t="s">
        <v>46</v>
      </c>
    </row>
    <row r="216" spans="1:25">
      <c r="A216" s="2">
        <v>10215</v>
      </c>
      <c r="B216" s="3" t="s">
        <v>288</v>
      </c>
      <c r="C216" s="3" t="s">
        <v>25</v>
      </c>
      <c r="D216" s="3">
        <v>48</v>
      </c>
      <c r="E216" s="3" t="s">
        <v>102</v>
      </c>
      <c r="F216" s="3" t="s">
        <v>116</v>
      </c>
      <c r="G216" s="3" t="s">
        <v>28</v>
      </c>
      <c r="H216" s="3" t="s">
        <v>45</v>
      </c>
      <c r="I216" s="4">
        <v>42895</v>
      </c>
      <c r="J216" s="3">
        <v>9</v>
      </c>
      <c r="K216" s="5">
        <v>74504.86</v>
      </c>
      <c r="L216" s="5">
        <v>5973.08</v>
      </c>
      <c r="M216" s="3" t="s">
        <v>32</v>
      </c>
      <c r="N216" s="3">
        <v>3</v>
      </c>
      <c r="O216" s="3">
        <v>4</v>
      </c>
      <c r="P216" s="3">
        <v>5</v>
      </c>
      <c r="Q216" s="3">
        <v>13</v>
      </c>
      <c r="R216" s="3" t="s">
        <v>30</v>
      </c>
      <c r="S216" s="3">
        <v>20</v>
      </c>
      <c r="T216" s="3" t="s">
        <v>52</v>
      </c>
      <c r="U216" s="3">
        <v>8</v>
      </c>
      <c r="V216" s="3" t="s">
        <v>32</v>
      </c>
      <c r="W216" s="4"/>
      <c r="X216" s="4" t="str">
        <f t="shared" si="3"/>
        <v>Active</v>
      </c>
      <c r="Y216" s="3" t="s">
        <v>87</v>
      </c>
    </row>
    <row r="217" spans="1:25">
      <c r="A217" s="2">
        <v>10216</v>
      </c>
      <c r="B217" s="3" t="s">
        <v>255</v>
      </c>
      <c r="C217" s="3" t="s">
        <v>25</v>
      </c>
      <c r="D217" s="3">
        <v>25</v>
      </c>
      <c r="E217" s="3" t="s">
        <v>48</v>
      </c>
      <c r="F217" s="3" t="s">
        <v>125</v>
      </c>
      <c r="G217" s="3" t="s">
        <v>44</v>
      </c>
      <c r="H217" s="3" t="s">
        <v>45</v>
      </c>
      <c r="I217" s="4">
        <v>45353</v>
      </c>
      <c r="J217" s="3">
        <v>2</v>
      </c>
      <c r="K217" s="5">
        <v>36715.68</v>
      </c>
      <c r="L217" s="5">
        <v>3511.7</v>
      </c>
      <c r="M217" s="3" t="s">
        <v>32</v>
      </c>
      <c r="N217" s="3">
        <v>5</v>
      </c>
      <c r="O217" s="3">
        <v>2</v>
      </c>
      <c r="P217" s="3">
        <v>1</v>
      </c>
      <c r="Q217" s="3">
        <v>70</v>
      </c>
      <c r="R217" s="3" t="s">
        <v>32</v>
      </c>
      <c r="S217" s="3">
        <v>29</v>
      </c>
      <c r="T217" s="3" t="s">
        <v>31</v>
      </c>
      <c r="U217" s="3">
        <v>15</v>
      </c>
      <c r="V217" s="3" t="s">
        <v>32</v>
      </c>
      <c r="W217" s="4"/>
      <c r="X217" s="4" t="str">
        <f t="shared" si="3"/>
        <v>Active</v>
      </c>
      <c r="Y217" s="3" t="s">
        <v>87</v>
      </c>
    </row>
    <row r="218" spans="1:25">
      <c r="A218" s="2">
        <v>10217</v>
      </c>
      <c r="B218" s="3" t="s">
        <v>289</v>
      </c>
      <c r="C218" s="3" t="s">
        <v>41</v>
      </c>
      <c r="D218" s="3">
        <v>58</v>
      </c>
      <c r="E218" s="3" t="s">
        <v>48</v>
      </c>
      <c r="F218" s="3" t="s">
        <v>49</v>
      </c>
      <c r="G218" s="3" t="s">
        <v>28</v>
      </c>
      <c r="H218" s="3" t="s">
        <v>45</v>
      </c>
      <c r="I218" s="4">
        <v>44360</v>
      </c>
      <c r="J218" s="3">
        <v>5</v>
      </c>
      <c r="K218" s="5">
        <v>39980.47</v>
      </c>
      <c r="L218" s="5">
        <v>2690.79</v>
      </c>
      <c r="M218" s="3" t="s">
        <v>30</v>
      </c>
      <c r="N218" s="3">
        <v>2</v>
      </c>
      <c r="O218" s="3">
        <v>5</v>
      </c>
      <c r="P218" s="3">
        <v>2</v>
      </c>
      <c r="Q218" s="3">
        <v>65</v>
      </c>
      <c r="R218" s="3" t="s">
        <v>30</v>
      </c>
      <c r="S218" s="3">
        <v>6</v>
      </c>
      <c r="T218" s="3" t="s">
        <v>52</v>
      </c>
      <c r="U218" s="3">
        <v>18</v>
      </c>
      <c r="V218" s="3" t="s">
        <v>32</v>
      </c>
      <c r="W218" s="4"/>
      <c r="X218" s="4" t="str">
        <f t="shared" si="3"/>
        <v>Active</v>
      </c>
      <c r="Y218" s="3" t="s">
        <v>132</v>
      </c>
    </row>
    <row r="219" spans="1:25">
      <c r="A219" s="2">
        <v>10218</v>
      </c>
      <c r="B219" s="3" t="s">
        <v>290</v>
      </c>
      <c r="C219" s="3" t="s">
        <v>25</v>
      </c>
      <c r="D219" s="3">
        <v>23</v>
      </c>
      <c r="E219" s="3" t="s">
        <v>26</v>
      </c>
      <c r="F219" s="3" t="s">
        <v>113</v>
      </c>
      <c r="G219" s="3" t="s">
        <v>28</v>
      </c>
      <c r="H219" s="3" t="s">
        <v>57</v>
      </c>
      <c r="I219" s="4">
        <v>43205</v>
      </c>
      <c r="J219" s="3">
        <v>8</v>
      </c>
      <c r="K219" s="5">
        <v>60211.21</v>
      </c>
      <c r="L219" s="5">
        <v>6437.55</v>
      </c>
      <c r="M219" s="3" t="s">
        <v>32</v>
      </c>
      <c r="N219" s="3">
        <v>3</v>
      </c>
      <c r="O219" s="3">
        <v>4</v>
      </c>
      <c r="P219" s="3">
        <v>4</v>
      </c>
      <c r="Q219" s="3">
        <v>58</v>
      </c>
      <c r="R219" s="3" t="s">
        <v>32</v>
      </c>
      <c r="S219" s="3">
        <v>2</v>
      </c>
      <c r="T219" s="3" t="s">
        <v>31</v>
      </c>
      <c r="U219" s="3">
        <v>10</v>
      </c>
      <c r="V219" s="3" t="s">
        <v>30</v>
      </c>
      <c r="W219" s="4">
        <v>45629</v>
      </c>
      <c r="X219" s="4" t="str">
        <f t="shared" si="3"/>
        <v>Exited</v>
      </c>
      <c r="Y219" s="3" t="s">
        <v>132</v>
      </c>
    </row>
    <row r="220" spans="1:25">
      <c r="A220" s="2">
        <v>10219</v>
      </c>
      <c r="B220" s="3" t="s">
        <v>139</v>
      </c>
      <c r="C220" s="3" t="s">
        <v>41</v>
      </c>
      <c r="D220" s="3">
        <v>55</v>
      </c>
      <c r="E220" s="3" t="s">
        <v>60</v>
      </c>
      <c r="F220" s="3" t="s">
        <v>64</v>
      </c>
      <c r="G220" s="3" t="s">
        <v>28</v>
      </c>
      <c r="H220" s="3" t="s">
        <v>57</v>
      </c>
      <c r="I220" s="4">
        <v>43171</v>
      </c>
      <c r="J220" s="3">
        <v>8</v>
      </c>
      <c r="K220" s="5">
        <v>89075.91</v>
      </c>
      <c r="L220" s="5">
        <v>12182.86</v>
      </c>
      <c r="M220" s="3" t="s">
        <v>30</v>
      </c>
      <c r="N220" s="3">
        <v>3</v>
      </c>
      <c r="O220" s="3">
        <v>4</v>
      </c>
      <c r="P220" s="3">
        <v>2</v>
      </c>
      <c r="Q220" s="3">
        <v>66</v>
      </c>
      <c r="R220" s="3" t="s">
        <v>32</v>
      </c>
      <c r="S220" s="3">
        <v>27</v>
      </c>
      <c r="T220" s="3" t="s">
        <v>38</v>
      </c>
      <c r="U220" s="3">
        <v>15</v>
      </c>
      <c r="V220" s="3" t="s">
        <v>32</v>
      </c>
      <c r="W220" s="4"/>
      <c r="X220" s="4" t="str">
        <f t="shared" si="3"/>
        <v>Active</v>
      </c>
      <c r="Y220" s="3" t="s">
        <v>75</v>
      </c>
    </row>
    <row r="221" spans="1:25">
      <c r="A221" s="2">
        <v>10220</v>
      </c>
      <c r="B221" s="3" t="s">
        <v>291</v>
      </c>
      <c r="C221" s="3" t="s">
        <v>25</v>
      </c>
      <c r="D221" s="3">
        <v>29</v>
      </c>
      <c r="E221" s="3" t="s">
        <v>73</v>
      </c>
      <c r="F221" s="3" t="s">
        <v>74</v>
      </c>
      <c r="G221" s="3" t="s">
        <v>28</v>
      </c>
      <c r="H221" s="3" t="s">
        <v>45</v>
      </c>
      <c r="I221" s="4">
        <v>45450</v>
      </c>
      <c r="J221" s="3">
        <v>2</v>
      </c>
      <c r="K221" s="5">
        <v>56848.57</v>
      </c>
      <c r="L221" s="5">
        <v>2247.3000000000002</v>
      </c>
      <c r="M221" s="3" t="s">
        <v>30</v>
      </c>
      <c r="N221" s="3">
        <v>5</v>
      </c>
      <c r="O221" s="3">
        <v>1</v>
      </c>
      <c r="P221" s="3">
        <v>2</v>
      </c>
      <c r="Q221" s="3">
        <v>53</v>
      </c>
      <c r="R221" s="3" t="s">
        <v>32</v>
      </c>
      <c r="S221" s="3">
        <v>24</v>
      </c>
      <c r="T221" s="3" t="s">
        <v>52</v>
      </c>
      <c r="U221" s="3">
        <v>15</v>
      </c>
      <c r="V221" s="3" t="s">
        <v>32</v>
      </c>
      <c r="W221" s="4"/>
      <c r="X221" s="4" t="str">
        <f t="shared" si="3"/>
        <v>Active</v>
      </c>
      <c r="Y221" s="3" t="s">
        <v>71</v>
      </c>
    </row>
    <row r="222" spans="1:25">
      <c r="A222" s="2">
        <v>10221</v>
      </c>
      <c r="B222" s="3" t="s">
        <v>292</v>
      </c>
      <c r="C222" s="3" t="s">
        <v>25</v>
      </c>
      <c r="D222" s="3">
        <v>47</v>
      </c>
      <c r="E222" s="3" t="s">
        <v>42</v>
      </c>
      <c r="F222" s="3" t="s">
        <v>127</v>
      </c>
      <c r="G222" s="3" t="s">
        <v>67</v>
      </c>
      <c r="H222" s="3" t="s">
        <v>45</v>
      </c>
      <c r="I222" s="4">
        <v>45031</v>
      </c>
      <c r="J222" s="3">
        <v>3</v>
      </c>
      <c r="K222" s="5">
        <v>43862.1</v>
      </c>
      <c r="L222" s="5">
        <v>4466.93</v>
      </c>
      <c r="M222" s="3" t="s">
        <v>30</v>
      </c>
      <c r="N222" s="3">
        <v>5</v>
      </c>
      <c r="O222" s="3">
        <v>2</v>
      </c>
      <c r="P222" s="3">
        <v>1</v>
      </c>
      <c r="Q222" s="3">
        <v>21</v>
      </c>
      <c r="R222" s="3" t="s">
        <v>32</v>
      </c>
      <c r="S222" s="3">
        <v>6</v>
      </c>
      <c r="T222" s="3" t="s">
        <v>31</v>
      </c>
      <c r="U222" s="3">
        <v>12</v>
      </c>
      <c r="V222" s="3" t="s">
        <v>32</v>
      </c>
      <c r="W222" s="4"/>
      <c r="X222" s="4" t="str">
        <f t="shared" si="3"/>
        <v>Active</v>
      </c>
      <c r="Y222" s="3" t="s">
        <v>81</v>
      </c>
    </row>
    <row r="223" spans="1:25">
      <c r="A223" s="2">
        <v>10222</v>
      </c>
      <c r="B223" s="3" t="s">
        <v>160</v>
      </c>
      <c r="C223" s="3" t="s">
        <v>25</v>
      </c>
      <c r="D223" s="3">
        <v>34</v>
      </c>
      <c r="E223" s="3" t="s">
        <v>73</v>
      </c>
      <c r="F223" s="3" t="s">
        <v>99</v>
      </c>
      <c r="G223" s="3" t="s">
        <v>44</v>
      </c>
      <c r="H223" s="3" t="s">
        <v>29</v>
      </c>
      <c r="I223" s="4">
        <v>41976</v>
      </c>
      <c r="J223" s="3">
        <v>12</v>
      </c>
      <c r="K223" s="5">
        <v>89821.81</v>
      </c>
      <c r="L223" s="5">
        <v>8812.33</v>
      </c>
      <c r="M223" s="3" t="s">
        <v>32</v>
      </c>
      <c r="N223" s="3">
        <v>2</v>
      </c>
      <c r="O223" s="3">
        <v>5</v>
      </c>
      <c r="P223" s="3">
        <v>5</v>
      </c>
      <c r="Q223" s="3">
        <v>33</v>
      </c>
      <c r="R223" s="3" t="s">
        <v>30</v>
      </c>
      <c r="S223" s="3">
        <v>22</v>
      </c>
      <c r="T223" s="3" t="s">
        <v>38</v>
      </c>
      <c r="U223" s="3">
        <v>14</v>
      </c>
      <c r="V223" s="3" t="s">
        <v>32</v>
      </c>
      <c r="W223" s="4"/>
      <c r="X223" s="4" t="str">
        <f t="shared" si="3"/>
        <v>Active</v>
      </c>
      <c r="Y223" s="3" t="s">
        <v>65</v>
      </c>
    </row>
    <row r="224" spans="1:25">
      <c r="A224" s="2">
        <v>10223</v>
      </c>
      <c r="B224" s="3" t="s">
        <v>293</v>
      </c>
      <c r="C224" s="3" t="s">
        <v>25</v>
      </c>
      <c r="D224" s="3">
        <v>29</v>
      </c>
      <c r="E224" s="3" t="s">
        <v>42</v>
      </c>
      <c r="F224" s="3" t="s">
        <v>176</v>
      </c>
      <c r="G224" s="3" t="s">
        <v>28</v>
      </c>
      <c r="H224" s="3" t="s">
        <v>45</v>
      </c>
      <c r="I224" s="4">
        <v>43617</v>
      </c>
      <c r="J224" s="3">
        <v>7</v>
      </c>
      <c r="K224" s="5">
        <v>80458.28</v>
      </c>
      <c r="L224" s="5">
        <v>7942.55</v>
      </c>
      <c r="M224" s="3" t="s">
        <v>30</v>
      </c>
      <c r="N224" s="3">
        <v>5</v>
      </c>
      <c r="O224" s="3">
        <v>5</v>
      </c>
      <c r="P224" s="3">
        <v>1</v>
      </c>
      <c r="Q224" s="3">
        <v>68</v>
      </c>
      <c r="R224" s="3" t="s">
        <v>32</v>
      </c>
      <c r="S224" s="3">
        <v>4</v>
      </c>
      <c r="T224" s="3" t="s">
        <v>52</v>
      </c>
      <c r="U224" s="3">
        <v>15</v>
      </c>
      <c r="V224" s="3" t="s">
        <v>32</v>
      </c>
      <c r="W224" s="4"/>
      <c r="X224" s="4" t="str">
        <f t="shared" si="3"/>
        <v>Active</v>
      </c>
      <c r="Y224" s="3" t="s">
        <v>75</v>
      </c>
    </row>
    <row r="225" spans="1:25">
      <c r="A225" s="2">
        <v>10224</v>
      </c>
      <c r="B225" s="3" t="s">
        <v>294</v>
      </c>
      <c r="C225" s="3" t="s">
        <v>25</v>
      </c>
      <c r="D225" s="3">
        <v>47</v>
      </c>
      <c r="E225" s="3" t="s">
        <v>102</v>
      </c>
      <c r="F225" s="3" t="s">
        <v>107</v>
      </c>
      <c r="G225" s="3" t="s">
        <v>37</v>
      </c>
      <c r="H225" s="3" t="s">
        <v>57</v>
      </c>
      <c r="I225" s="4">
        <v>42058</v>
      </c>
      <c r="J225" s="3">
        <v>11</v>
      </c>
      <c r="K225" s="5">
        <v>77228.97</v>
      </c>
      <c r="L225" s="5">
        <v>6384.99</v>
      </c>
      <c r="M225" s="3" t="s">
        <v>32</v>
      </c>
      <c r="N225" s="3">
        <v>3</v>
      </c>
      <c r="O225" s="3">
        <v>5</v>
      </c>
      <c r="P225" s="3">
        <v>5</v>
      </c>
      <c r="Q225" s="3">
        <v>12</v>
      </c>
      <c r="R225" s="3" t="s">
        <v>32</v>
      </c>
      <c r="S225" s="3">
        <v>9</v>
      </c>
      <c r="T225" s="3" t="s">
        <v>38</v>
      </c>
      <c r="U225" s="3">
        <v>7</v>
      </c>
      <c r="V225" s="3" t="s">
        <v>32</v>
      </c>
      <c r="W225" s="4"/>
      <c r="X225" s="4" t="str">
        <f t="shared" si="3"/>
        <v>Active</v>
      </c>
      <c r="Y225" s="3" t="s">
        <v>65</v>
      </c>
    </row>
    <row r="226" spans="1:25">
      <c r="A226" s="2">
        <v>10225</v>
      </c>
      <c r="B226" s="3" t="s">
        <v>295</v>
      </c>
      <c r="C226" s="3" t="s">
        <v>41</v>
      </c>
      <c r="D226" s="3">
        <v>55</v>
      </c>
      <c r="E226" s="3" t="s">
        <v>73</v>
      </c>
      <c r="F226" s="3" t="s">
        <v>77</v>
      </c>
      <c r="G226" s="3" t="s">
        <v>28</v>
      </c>
      <c r="H226" s="3" t="s">
        <v>45</v>
      </c>
      <c r="I226" s="4">
        <v>40237</v>
      </c>
      <c r="J226" s="3">
        <v>16</v>
      </c>
      <c r="K226" s="5">
        <v>74679.23</v>
      </c>
      <c r="L226" s="5">
        <v>2637.5</v>
      </c>
      <c r="M226" s="3" t="s">
        <v>30</v>
      </c>
      <c r="N226" s="3">
        <v>2</v>
      </c>
      <c r="O226" s="3">
        <v>3</v>
      </c>
      <c r="P226" s="3">
        <v>4</v>
      </c>
      <c r="Q226" s="3">
        <v>46</v>
      </c>
      <c r="R226" s="3" t="s">
        <v>30</v>
      </c>
      <c r="S226" s="3">
        <v>14</v>
      </c>
      <c r="T226" s="3" t="s">
        <v>31</v>
      </c>
      <c r="U226" s="3">
        <v>18</v>
      </c>
      <c r="V226" s="3" t="s">
        <v>32</v>
      </c>
      <c r="W226" s="4"/>
      <c r="X226" s="4" t="str">
        <f t="shared" si="3"/>
        <v>Active</v>
      </c>
      <c r="Y226" s="3" t="s">
        <v>55</v>
      </c>
    </row>
    <row r="227" spans="1:25">
      <c r="A227" s="2">
        <v>10226</v>
      </c>
      <c r="B227" s="3" t="s">
        <v>296</v>
      </c>
      <c r="C227" s="3" t="s">
        <v>41</v>
      </c>
      <c r="D227" s="3">
        <v>60</v>
      </c>
      <c r="E227" s="3" t="s">
        <v>102</v>
      </c>
      <c r="F227" s="3" t="s">
        <v>103</v>
      </c>
      <c r="G227" s="3" t="s">
        <v>37</v>
      </c>
      <c r="H227" s="3" t="s">
        <v>57</v>
      </c>
      <c r="I227" s="4">
        <v>44701</v>
      </c>
      <c r="J227" s="3">
        <v>4</v>
      </c>
      <c r="K227" s="5">
        <v>70270.48</v>
      </c>
      <c r="L227" s="5">
        <v>5812.83</v>
      </c>
      <c r="M227" s="3" t="s">
        <v>32</v>
      </c>
      <c r="N227" s="3">
        <v>5</v>
      </c>
      <c r="O227" s="3">
        <v>4</v>
      </c>
      <c r="P227" s="3">
        <v>3</v>
      </c>
      <c r="Q227" s="3">
        <v>39</v>
      </c>
      <c r="R227" s="3" t="s">
        <v>32</v>
      </c>
      <c r="S227" s="3">
        <v>25</v>
      </c>
      <c r="T227" s="3" t="s">
        <v>31</v>
      </c>
      <c r="U227" s="3">
        <v>12</v>
      </c>
      <c r="V227" s="3" t="s">
        <v>32</v>
      </c>
      <c r="W227" s="4"/>
      <c r="X227" s="4" t="str">
        <f t="shared" si="3"/>
        <v>Active</v>
      </c>
      <c r="Y227" s="3" t="s">
        <v>55</v>
      </c>
    </row>
    <row r="228" spans="1:25">
      <c r="A228" s="2">
        <v>10227</v>
      </c>
      <c r="B228" s="3" t="s">
        <v>135</v>
      </c>
      <c r="C228" s="3" t="s">
        <v>25</v>
      </c>
      <c r="D228" s="3">
        <v>31</v>
      </c>
      <c r="E228" s="3" t="s">
        <v>42</v>
      </c>
      <c r="F228" s="3" t="s">
        <v>127</v>
      </c>
      <c r="G228" s="3" t="s">
        <v>37</v>
      </c>
      <c r="H228" s="3" t="s">
        <v>57</v>
      </c>
      <c r="I228" s="4">
        <v>44689</v>
      </c>
      <c r="J228" s="3">
        <v>4</v>
      </c>
      <c r="K228" s="5">
        <v>68771.399999999994</v>
      </c>
      <c r="L228" s="5">
        <v>7495.63</v>
      </c>
      <c r="M228" s="3" t="s">
        <v>30</v>
      </c>
      <c r="N228" s="3">
        <v>4</v>
      </c>
      <c r="O228" s="3">
        <v>1</v>
      </c>
      <c r="P228" s="3">
        <v>1</v>
      </c>
      <c r="Q228" s="3">
        <v>18</v>
      </c>
      <c r="R228" s="3" t="s">
        <v>32</v>
      </c>
      <c r="S228" s="3">
        <v>20</v>
      </c>
      <c r="T228" s="3" t="s">
        <v>38</v>
      </c>
      <c r="U228" s="3">
        <v>2</v>
      </c>
      <c r="V228" s="3" t="s">
        <v>30</v>
      </c>
      <c r="W228" s="4">
        <v>45016</v>
      </c>
      <c r="X228" s="4" t="str">
        <f t="shared" si="3"/>
        <v>Exited</v>
      </c>
      <c r="Y228" s="3" t="s">
        <v>46</v>
      </c>
    </row>
    <row r="229" spans="1:25">
      <c r="A229" s="2">
        <v>10228</v>
      </c>
      <c r="B229" s="3" t="s">
        <v>297</v>
      </c>
      <c r="C229" s="3" t="s">
        <v>25</v>
      </c>
      <c r="D229" s="3">
        <v>45</v>
      </c>
      <c r="E229" s="3" t="s">
        <v>73</v>
      </c>
      <c r="F229" s="3" t="s">
        <v>77</v>
      </c>
      <c r="G229" s="3" t="s">
        <v>37</v>
      </c>
      <c r="H229" s="3" t="s">
        <v>45</v>
      </c>
      <c r="I229" s="4">
        <v>40649</v>
      </c>
      <c r="J229" s="3">
        <v>15</v>
      </c>
      <c r="K229" s="5">
        <v>96742.95</v>
      </c>
      <c r="L229" s="5">
        <v>12250.53</v>
      </c>
      <c r="M229" s="3" t="s">
        <v>32</v>
      </c>
      <c r="N229" s="3">
        <v>4</v>
      </c>
      <c r="O229" s="3">
        <v>1</v>
      </c>
      <c r="P229" s="3">
        <v>2</v>
      </c>
      <c r="Q229" s="3">
        <v>66</v>
      </c>
      <c r="R229" s="3" t="s">
        <v>32</v>
      </c>
      <c r="S229" s="3">
        <v>2</v>
      </c>
      <c r="T229" s="3" t="s">
        <v>31</v>
      </c>
      <c r="U229" s="3">
        <v>16</v>
      </c>
      <c r="V229" s="3" t="s">
        <v>32</v>
      </c>
      <c r="W229" s="4"/>
      <c r="X229" s="4" t="str">
        <f t="shared" si="3"/>
        <v>Active</v>
      </c>
      <c r="Y229" s="3" t="s">
        <v>68</v>
      </c>
    </row>
    <row r="230" spans="1:25">
      <c r="A230" s="2">
        <v>10229</v>
      </c>
      <c r="B230" s="3" t="s">
        <v>246</v>
      </c>
      <c r="C230" s="3" t="s">
        <v>25</v>
      </c>
      <c r="D230" s="3">
        <v>36</v>
      </c>
      <c r="E230" s="3" t="s">
        <v>48</v>
      </c>
      <c r="F230" s="3" t="s">
        <v>125</v>
      </c>
      <c r="G230" s="3" t="s">
        <v>78</v>
      </c>
      <c r="H230" s="3" t="s">
        <v>29</v>
      </c>
      <c r="I230" s="4">
        <v>42439</v>
      </c>
      <c r="J230" s="3">
        <v>10</v>
      </c>
      <c r="K230" s="5">
        <v>77882.009999999995</v>
      </c>
      <c r="L230" s="5">
        <v>5132.9399999999996</v>
      </c>
      <c r="M230" s="3" t="s">
        <v>32</v>
      </c>
      <c r="N230" s="3">
        <v>5</v>
      </c>
      <c r="O230" s="3">
        <v>2</v>
      </c>
      <c r="P230" s="3">
        <v>5</v>
      </c>
      <c r="Q230" s="3">
        <v>1</v>
      </c>
      <c r="R230" s="3" t="s">
        <v>32</v>
      </c>
      <c r="S230" s="3">
        <v>3</v>
      </c>
      <c r="T230" s="3" t="s">
        <v>52</v>
      </c>
      <c r="U230" s="3">
        <v>17</v>
      </c>
      <c r="V230" s="3" t="s">
        <v>32</v>
      </c>
      <c r="W230" s="4"/>
      <c r="X230" s="4" t="str">
        <f t="shared" si="3"/>
        <v>Active</v>
      </c>
      <c r="Y230" s="3" t="s">
        <v>55</v>
      </c>
    </row>
    <row r="231" spans="1:25">
      <c r="A231" s="2">
        <v>10230</v>
      </c>
      <c r="B231" s="3" t="s">
        <v>298</v>
      </c>
      <c r="C231" s="3" t="s">
        <v>41</v>
      </c>
      <c r="D231" s="3">
        <v>38</v>
      </c>
      <c r="E231" s="3" t="s">
        <v>26</v>
      </c>
      <c r="F231" s="3" t="s">
        <v>27</v>
      </c>
      <c r="G231" s="3" t="s">
        <v>28</v>
      </c>
      <c r="H231" s="3" t="s">
        <v>57</v>
      </c>
      <c r="I231" s="4">
        <v>44888</v>
      </c>
      <c r="J231" s="3">
        <v>4</v>
      </c>
      <c r="K231" s="5">
        <v>45302.34</v>
      </c>
      <c r="L231" s="5">
        <v>1936.88</v>
      </c>
      <c r="M231" s="3" t="s">
        <v>32</v>
      </c>
      <c r="N231" s="3">
        <v>5</v>
      </c>
      <c r="O231" s="3">
        <v>1</v>
      </c>
      <c r="P231" s="3">
        <v>5</v>
      </c>
      <c r="Q231" s="3">
        <v>37</v>
      </c>
      <c r="R231" s="3" t="s">
        <v>32</v>
      </c>
      <c r="S231" s="3">
        <v>4</v>
      </c>
      <c r="T231" s="3" t="s">
        <v>31</v>
      </c>
      <c r="U231" s="3">
        <v>8</v>
      </c>
      <c r="V231" s="3" t="s">
        <v>32</v>
      </c>
      <c r="W231" s="4"/>
      <c r="X231" s="4" t="str">
        <f t="shared" si="3"/>
        <v>Active</v>
      </c>
      <c r="Y231" s="3" t="s">
        <v>55</v>
      </c>
    </row>
    <row r="232" spans="1:25">
      <c r="A232" s="2">
        <v>10231</v>
      </c>
      <c r="B232" s="3" t="s">
        <v>299</v>
      </c>
      <c r="C232" s="3" t="s">
        <v>41</v>
      </c>
      <c r="D232" s="3">
        <v>57</v>
      </c>
      <c r="E232" s="3" t="s">
        <v>73</v>
      </c>
      <c r="F232" s="3" t="s">
        <v>74</v>
      </c>
      <c r="G232" s="3" t="s">
        <v>37</v>
      </c>
      <c r="H232" s="3" t="s">
        <v>57</v>
      </c>
      <c r="I232" s="4">
        <v>43953</v>
      </c>
      <c r="J232" s="3">
        <v>6</v>
      </c>
      <c r="K232" s="5">
        <v>93791.43</v>
      </c>
      <c r="L232" s="5">
        <v>12386.38</v>
      </c>
      <c r="M232" s="3" t="s">
        <v>32</v>
      </c>
      <c r="N232" s="3">
        <v>3</v>
      </c>
      <c r="O232" s="3">
        <v>1</v>
      </c>
      <c r="P232" s="3">
        <v>4</v>
      </c>
      <c r="Q232" s="3">
        <v>28</v>
      </c>
      <c r="R232" s="3" t="s">
        <v>32</v>
      </c>
      <c r="S232" s="3">
        <v>8</v>
      </c>
      <c r="T232" s="3" t="s">
        <v>38</v>
      </c>
      <c r="U232" s="3">
        <v>13</v>
      </c>
      <c r="V232" s="3" t="s">
        <v>32</v>
      </c>
      <c r="W232" s="4"/>
      <c r="X232" s="4" t="str">
        <f t="shared" si="3"/>
        <v>Active</v>
      </c>
      <c r="Y232" s="3" t="s">
        <v>58</v>
      </c>
    </row>
    <row r="233" spans="1:25">
      <c r="A233" s="2">
        <v>10232</v>
      </c>
      <c r="B233" s="3" t="s">
        <v>300</v>
      </c>
      <c r="C233" s="3" t="s">
        <v>25</v>
      </c>
      <c r="D233" s="3">
        <v>39</v>
      </c>
      <c r="E233" s="3" t="s">
        <v>42</v>
      </c>
      <c r="F233" s="3" t="s">
        <v>70</v>
      </c>
      <c r="G233" s="3" t="s">
        <v>37</v>
      </c>
      <c r="H233" s="3" t="s">
        <v>57</v>
      </c>
      <c r="I233" s="4">
        <v>40801</v>
      </c>
      <c r="J233" s="3">
        <v>15</v>
      </c>
      <c r="K233" s="5">
        <v>65500.33</v>
      </c>
      <c r="L233" s="5">
        <v>2829.82</v>
      </c>
      <c r="M233" s="3" t="s">
        <v>32</v>
      </c>
      <c r="N233" s="3">
        <v>2</v>
      </c>
      <c r="O233" s="3">
        <v>5</v>
      </c>
      <c r="P233" s="3">
        <v>3</v>
      </c>
      <c r="Q233" s="3">
        <v>23</v>
      </c>
      <c r="R233" s="3" t="s">
        <v>32</v>
      </c>
      <c r="S233" s="3">
        <v>22</v>
      </c>
      <c r="T233" s="3" t="s">
        <v>52</v>
      </c>
      <c r="U233" s="3">
        <v>15</v>
      </c>
      <c r="V233" s="3" t="s">
        <v>32</v>
      </c>
      <c r="W233" s="4"/>
      <c r="X233" s="4" t="str">
        <f t="shared" si="3"/>
        <v>Active</v>
      </c>
      <c r="Y233" s="3" t="s">
        <v>68</v>
      </c>
    </row>
    <row r="234" spans="1:25">
      <c r="A234" s="2">
        <v>10233</v>
      </c>
      <c r="B234" s="3" t="s">
        <v>301</v>
      </c>
      <c r="C234" s="3" t="s">
        <v>25</v>
      </c>
      <c r="D234" s="3">
        <v>35</v>
      </c>
      <c r="E234" s="3" t="s">
        <v>26</v>
      </c>
      <c r="F234" s="3" t="s">
        <v>27</v>
      </c>
      <c r="G234" s="3" t="s">
        <v>44</v>
      </c>
      <c r="H234" s="3" t="s">
        <v>57</v>
      </c>
      <c r="I234" s="4">
        <v>41456</v>
      </c>
      <c r="J234" s="3">
        <v>13</v>
      </c>
      <c r="K234" s="5">
        <v>95631</v>
      </c>
      <c r="L234" s="5">
        <v>3402.95</v>
      </c>
      <c r="M234" s="3" t="s">
        <v>30</v>
      </c>
      <c r="N234" s="3">
        <v>4</v>
      </c>
      <c r="O234" s="3">
        <v>5</v>
      </c>
      <c r="P234" s="3">
        <v>1</v>
      </c>
      <c r="Q234" s="3">
        <v>69</v>
      </c>
      <c r="R234" s="3" t="s">
        <v>32</v>
      </c>
      <c r="S234" s="3">
        <v>28</v>
      </c>
      <c r="T234" s="3" t="s">
        <v>38</v>
      </c>
      <c r="U234" s="3">
        <v>11</v>
      </c>
      <c r="V234" s="3" t="s">
        <v>32</v>
      </c>
      <c r="W234" s="4"/>
      <c r="X234" s="4" t="str">
        <f t="shared" si="3"/>
        <v>Active</v>
      </c>
      <c r="Y234" s="3" t="s">
        <v>71</v>
      </c>
    </row>
    <row r="235" spans="1:25">
      <c r="A235" s="2">
        <v>10234</v>
      </c>
      <c r="B235" s="3" t="s">
        <v>218</v>
      </c>
      <c r="C235" s="3" t="s">
        <v>41</v>
      </c>
      <c r="D235" s="3">
        <v>53</v>
      </c>
      <c r="E235" s="3" t="s">
        <v>102</v>
      </c>
      <c r="F235" s="3" t="s">
        <v>103</v>
      </c>
      <c r="G235" s="3" t="s">
        <v>28</v>
      </c>
      <c r="H235" s="3" t="s">
        <v>45</v>
      </c>
      <c r="I235" s="4">
        <v>41229</v>
      </c>
      <c r="J235" s="3">
        <v>14</v>
      </c>
      <c r="K235" s="5">
        <v>37436.67</v>
      </c>
      <c r="L235" s="5">
        <v>4638.59</v>
      </c>
      <c r="M235" s="3" t="s">
        <v>32</v>
      </c>
      <c r="N235" s="3">
        <v>5</v>
      </c>
      <c r="O235" s="3">
        <v>1</v>
      </c>
      <c r="P235" s="3">
        <v>5</v>
      </c>
      <c r="Q235" s="3">
        <v>44</v>
      </c>
      <c r="R235" s="3" t="s">
        <v>32</v>
      </c>
      <c r="S235" s="3">
        <v>22</v>
      </c>
      <c r="T235" s="3" t="s">
        <v>52</v>
      </c>
      <c r="U235" s="3">
        <v>14</v>
      </c>
      <c r="V235" s="3" t="s">
        <v>32</v>
      </c>
      <c r="W235" s="4"/>
      <c r="X235" s="4" t="str">
        <f t="shared" si="3"/>
        <v>Active</v>
      </c>
      <c r="Y235" s="3" t="s">
        <v>53</v>
      </c>
    </row>
    <row r="236" spans="1:25">
      <c r="A236" s="2">
        <v>10235</v>
      </c>
      <c r="B236" s="3" t="s">
        <v>302</v>
      </c>
      <c r="C236" s="3" t="s">
        <v>41</v>
      </c>
      <c r="D236" s="3">
        <v>21</v>
      </c>
      <c r="E236" s="3" t="s">
        <v>42</v>
      </c>
      <c r="F236" s="3" t="s">
        <v>127</v>
      </c>
      <c r="G236" s="3" t="s">
        <v>28</v>
      </c>
      <c r="H236" s="3" t="s">
        <v>29</v>
      </c>
      <c r="I236" s="4">
        <v>42844</v>
      </c>
      <c r="J236" s="3">
        <v>9</v>
      </c>
      <c r="K236" s="5">
        <v>54888.13</v>
      </c>
      <c r="L236" s="5">
        <v>7247.4</v>
      </c>
      <c r="M236" s="3" t="s">
        <v>30</v>
      </c>
      <c r="N236" s="3">
        <v>3</v>
      </c>
      <c r="O236" s="3">
        <v>2</v>
      </c>
      <c r="P236" s="3">
        <v>3</v>
      </c>
      <c r="Q236" s="3">
        <v>60</v>
      </c>
      <c r="R236" s="3" t="s">
        <v>32</v>
      </c>
      <c r="S236" s="3">
        <v>11</v>
      </c>
      <c r="T236" s="3" t="s">
        <v>38</v>
      </c>
      <c r="U236" s="3">
        <v>5</v>
      </c>
      <c r="V236" s="3" t="s">
        <v>32</v>
      </c>
      <c r="W236" s="4"/>
      <c r="X236" s="4" t="str">
        <f t="shared" si="3"/>
        <v>Active</v>
      </c>
      <c r="Y236" s="3" t="s">
        <v>68</v>
      </c>
    </row>
    <row r="237" spans="1:25">
      <c r="A237" s="2">
        <v>10236</v>
      </c>
      <c r="B237" s="3" t="s">
        <v>303</v>
      </c>
      <c r="C237" s="3" t="s">
        <v>41</v>
      </c>
      <c r="D237" s="3">
        <v>46</v>
      </c>
      <c r="E237" s="3" t="s">
        <v>102</v>
      </c>
      <c r="F237" s="3" t="s">
        <v>103</v>
      </c>
      <c r="G237" s="3" t="s">
        <v>28</v>
      </c>
      <c r="H237" s="3" t="s">
        <v>29</v>
      </c>
      <c r="I237" s="4">
        <v>44896</v>
      </c>
      <c r="J237" s="3">
        <v>4</v>
      </c>
      <c r="K237" s="5">
        <v>65870.539999999994</v>
      </c>
      <c r="L237" s="5">
        <v>8289.4599999999991</v>
      </c>
      <c r="M237" s="3" t="s">
        <v>32</v>
      </c>
      <c r="N237" s="3">
        <v>2</v>
      </c>
      <c r="O237" s="3">
        <v>5</v>
      </c>
      <c r="P237" s="3">
        <v>4</v>
      </c>
      <c r="Q237" s="3">
        <v>48</v>
      </c>
      <c r="R237" s="3" t="s">
        <v>30</v>
      </c>
      <c r="S237" s="3">
        <v>26</v>
      </c>
      <c r="T237" s="3" t="s">
        <v>31</v>
      </c>
      <c r="U237" s="3">
        <v>4</v>
      </c>
      <c r="V237" s="3" t="s">
        <v>32</v>
      </c>
      <c r="W237" s="4"/>
      <c r="X237" s="4" t="str">
        <f t="shared" si="3"/>
        <v>Active</v>
      </c>
      <c r="Y237" s="3" t="s">
        <v>39</v>
      </c>
    </row>
    <row r="238" spans="1:25">
      <c r="A238" s="2">
        <v>10237</v>
      </c>
      <c r="B238" s="3" t="s">
        <v>304</v>
      </c>
      <c r="C238" s="3" t="s">
        <v>25</v>
      </c>
      <c r="D238" s="3">
        <v>29</v>
      </c>
      <c r="E238" s="3" t="s">
        <v>35</v>
      </c>
      <c r="F238" s="3" t="s">
        <v>51</v>
      </c>
      <c r="G238" s="3" t="s">
        <v>37</v>
      </c>
      <c r="H238" s="3" t="s">
        <v>57</v>
      </c>
      <c r="I238" s="4">
        <v>42234</v>
      </c>
      <c r="J238" s="3">
        <v>11</v>
      </c>
      <c r="K238" s="5">
        <v>63106.92</v>
      </c>
      <c r="L238" s="5">
        <v>5920.6</v>
      </c>
      <c r="M238" s="3" t="s">
        <v>32</v>
      </c>
      <c r="N238" s="3">
        <v>2</v>
      </c>
      <c r="O238" s="3">
        <v>1</v>
      </c>
      <c r="P238" s="3">
        <v>2</v>
      </c>
      <c r="Q238" s="3">
        <v>32</v>
      </c>
      <c r="R238" s="3" t="s">
        <v>32</v>
      </c>
      <c r="S238" s="3">
        <v>21</v>
      </c>
      <c r="T238" s="3" t="s">
        <v>52</v>
      </c>
      <c r="U238" s="3">
        <v>14</v>
      </c>
      <c r="V238" s="3" t="s">
        <v>32</v>
      </c>
      <c r="W238" s="4"/>
      <c r="X238" s="4" t="str">
        <f t="shared" si="3"/>
        <v>Active</v>
      </c>
      <c r="Y238" s="3" t="s">
        <v>84</v>
      </c>
    </row>
    <row r="239" spans="1:25">
      <c r="A239" s="2">
        <v>10238</v>
      </c>
      <c r="B239" s="3" t="s">
        <v>305</v>
      </c>
      <c r="C239" s="3" t="s">
        <v>41</v>
      </c>
      <c r="D239" s="3">
        <v>56</v>
      </c>
      <c r="E239" s="3" t="s">
        <v>35</v>
      </c>
      <c r="F239" s="3" t="s">
        <v>51</v>
      </c>
      <c r="G239" s="3" t="s">
        <v>28</v>
      </c>
      <c r="H239" s="3" t="s">
        <v>57</v>
      </c>
      <c r="I239" s="4">
        <v>41172</v>
      </c>
      <c r="J239" s="3">
        <v>14</v>
      </c>
      <c r="K239" s="5">
        <v>52554.52</v>
      </c>
      <c r="L239" s="5">
        <v>5694.08</v>
      </c>
      <c r="M239" s="3" t="s">
        <v>32</v>
      </c>
      <c r="N239" s="3">
        <v>5</v>
      </c>
      <c r="O239" s="3">
        <v>5</v>
      </c>
      <c r="P239" s="3">
        <v>5</v>
      </c>
      <c r="Q239" s="3">
        <v>22</v>
      </c>
      <c r="R239" s="3" t="s">
        <v>32</v>
      </c>
      <c r="S239" s="3">
        <v>10</v>
      </c>
      <c r="T239" s="3" t="s">
        <v>38</v>
      </c>
      <c r="U239" s="3">
        <v>10</v>
      </c>
      <c r="V239" s="3" t="s">
        <v>32</v>
      </c>
      <c r="W239" s="4"/>
      <c r="X239" s="4" t="str">
        <f t="shared" si="3"/>
        <v>Active</v>
      </c>
      <c r="Y239" s="3" t="s">
        <v>71</v>
      </c>
    </row>
    <row r="240" spans="1:25">
      <c r="A240" s="2">
        <v>10239</v>
      </c>
      <c r="B240" s="3" t="s">
        <v>150</v>
      </c>
      <c r="C240" s="3" t="s">
        <v>41</v>
      </c>
      <c r="D240" s="3">
        <v>60</v>
      </c>
      <c r="E240" s="3" t="s">
        <v>102</v>
      </c>
      <c r="F240" s="3" t="s">
        <v>103</v>
      </c>
      <c r="G240" s="3" t="s">
        <v>37</v>
      </c>
      <c r="H240" s="3" t="s">
        <v>29</v>
      </c>
      <c r="I240" s="4">
        <v>41551</v>
      </c>
      <c r="J240" s="3">
        <v>13</v>
      </c>
      <c r="K240" s="5">
        <v>63826.13</v>
      </c>
      <c r="L240" s="5">
        <v>8981.2099999999991</v>
      </c>
      <c r="M240" s="3" t="s">
        <v>32</v>
      </c>
      <c r="N240" s="3">
        <v>5</v>
      </c>
      <c r="O240" s="3">
        <v>5</v>
      </c>
      <c r="P240" s="3">
        <v>4</v>
      </c>
      <c r="Q240" s="3">
        <v>9</v>
      </c>
      <c r="R240" s="3" t="s">
        <v>30</v>
      </c>
      <c r="S240" s="3">
        <v>11</v>
      </c>
      <c r="T240" s="3" t="s">
        <v>52</v>
      </c>
      <c r="U240" s="3">
        <v>10</v>
      </c>
      <c r="V240" s="3" t="s">
        <v>32</v>
      </c>
      <c r="W240" s="4"/>
      <c r="X240" s="4" t="str">
        <f t="shared" si="3"/>
        <v>Active</v>
      </c>
      <c r="Y240" s="3" t="s">
        <v>84</v>
      </c>
    </row>
    <row r="241" spans="1:25">
      <c r="A241" s="2">
        <v>10240</v>
      </c>
      <c r="B241" s="3" t="s">
        <v>306</v>
      </c>
      <c r="C241" s="3" t="s">
        <v>41</v>
      </c>
      <c r="D241" s="3">
        <v>46</v>
      </c>
      <c r="E241" s="3" t="s">
        <v>102</v>
      </c>
      <c r="F241" s="3" t="s">
        <v>103</v>
      </c>
      <c r="G241" s="3" t="s">
        <v>37</v>
      </c>
      <c r="H241" s="3" t="s">
        <v>57</v>
      </c>
      <c r="I241" s="4">
        <v>44987</v>
      </c>
      <c r="J241" s="3">
        <v>3</v>
      </c>
      <c r="K241" s="5">
        <v>58442.11</v>
      </c>
      <c r="L241" s="5">
        <v>4589.8999999999996</v>
      </c>
      <c r="M241" s="3" t="s">
        <v>30</v>
      </c>
      <c r="N241" s="3">
        <v>1</v>
      </c>
      <c r="O241" s="3">
        <v>2</v>
      </c>
      <c r="P241" s="3">
        <v>2</v>
      </c>
      <c r="Q241" s="3">
        <v>32</v>
      </c>
      <c r="R241" s="3" t="s">
        <v>32</v>
      </c>
      <c r="S241" s="3">
        <v>23</v>
      </c>
      <c r="T241" s="3" t="s">
        <v>31</v>
      </c>
      <c r="U241" s="3">
        <v>2</v>
      </c>
      <c r="V241" s="3" t="s">
        <v>32</v>
      </c>
      <c r="W241" s="4"/>
      <c r="X241" s="4" t="str">
        <f t="shared" si="3"/>
        <v>Active</v>
      </c>
      <c r="Y241" s="3" t="s">
        <v>33</v>
      </c>
    </row>
    <row r="242" spans="1:25">
      <c r="A242" s="2">
        <v>10241</v>
      </c>
      <c r="B242" s="3" t="s">
        <v>307</v>
      </c>
      <c r="C242" s="3" t="s">
        <v>25</v>
      </c>
      <c r="D242" s="3">
        <v>51</v>
      </c>
      <c r="E242" s="3" t="s">
        <v>60</v>
      </c>
      <c r="F242" s="3" t="s">
        <v>61</v>
      </c>
      <c r="G242" s="3" t="s">
        <v>67</v>
      </c>
      <c r="H242" s="3" t="s">
        <v>57</v>
      </c>
      <c r="I242" s="4">
        <v>44471</v>
      </c>
      <c r="J242" s="3">
        <v>5</v>
      </c>
      <c r="K242" s="5">
        <v>102374.73</v>
      </c>
      <c r="L242" s="5">
        <v>3155.46</v>
      </c>
      <c r="M242" s="3" t="s">
        <v>30</v>
      </c>
      <c r="N242" s="3">
        <v>2</v>
      </c>
      <c r="O242" s="3">
        <v>1</v>
      </c>
      <c r="P242" s="3">
        <v>4</v>
      </c>
      <c r="Q242" s="3">
        <v>39</v>
      </c>
      <c r="R242" s="3" t="s">
        <v>30</v>
      </c>
      <c r="S242" s="3">
        <v>24</v>
      </c>
      <c r="T242" s="3" t="s">
        <v>38</v>
      </c>
      <c r="U242" s="3">
        <v>14</v>
      </c>
      <c r="V242" s="3" t="s">
        <v>32</v>
      </c>
      <c r="W242" s="4"/>
      <c r="X242" s="4" t="str">
        <f t="shared" si="3"/>
        <v>Active</v>
      </c>
      <c r="Y242" s="3" t="s">
        <v>87</v>
      </c>
    </row>
    <row r="243" spans="1:25">
      <c r="A243" s="2">
        <v>10242</v>
      </c>
      <c r="B243" s="3" t="s">
        <v>308</v>
      </c>
      <c r="C243" s="3" t="s">
        <v>25</v>
      </c>
      <c r="D243" s="3">
        <v>43</v>
      </c>
      <c r="E243" s="3" t="s">
        <v>35</v>
      </c>
      <c r="F243" s="3" t="s">
        <v>51</v>
      </c>
      <c r="G243" s="3" t="s">
        <v>44</v>
      </c>
      <c r="H243" s="3" t="s">
        <v>57</v>
      </c>
      <c r="I243" s="4">
        <v>44607</v>
      </c>
      <c r="J243" s="3">
        <v>4</v>
      </c>
      <c r="K243" s="5">
        <v>81742.880000000005</v>
      </c>
      <c r="L243" s="5">
        <v>7464.01</v>
      </c>
      <c r="M243" s="3" t="s">
        <v>30</v>
      </c>
      <c r="N243" s="3">
        <v>5</v>
      </c>
      <c r="O243" s="3">
        <v>2</v>
      </c>
      <c r="P243" s="3">
        <v>5</v>
      </c>
      <c r="Q243" s="3">
        <v>76</v>
      </c>
      <c r="R243" s="3" t="s">
        <v>32</v>
      </c>
      <c r="S243" s="3">
        <v>24</v>
      </c>
      <c r="T243" s="3" t="s">
        <v>31</v>
      </c>
      <c r="U243" s="3">
        <v>18</v>
      </c>
      <c r="V243" s="3" t="s">
        <v>32</v>
      </c>
      <c r="W243" s="4"/>
      <c r="X243" s="4" t="str">
        <f t="shared" si="3"/>
        <v>Active</v>
      </c>
      <c r="Y243" s="3" t="s">
        <v>132</v>
      </c>
    </row>
    <row r="244" spans="1:25">
      <c r="A244" s="2">
        <v>10243</v>
      </c>
      <c r="B244" s="3" t="s">
        <v>309</v>
      </c>
      <c r="C244" s="3" t="s">
        <v>41</v>
      </c>
      <c r="D244" s="3">
        <v>55</v>
      </c>
      <c r="E244" s="3" t="s">
        <v>26</v>
      </c>
      <c r="F244" s="3" t="s">
        <v>105</v>
      </c>
      <c r="G244" s="3" t="s">
        <v>28</v>
      </c>
      <c r="H244" s="3" t="s">
        <v>57</v>
      </c>
      <c r="I244" s="4">
        <v>43555</v>
      </c>
      <c r="J244" s="3">
        <v>7</v>
      </c>
      <c r="K244" s="5">
        <v>61887.46</v>
      </c>
      <c r="L244" s="5">
        <v>3680.11</v>
      </c>
      <c r="M244" s="3" t="s">
        <v>30</v>
      </c>
      <c r="N244" s="3">
        <v>2</v>
      </c>
      <c r="O244" s="3">
        <v>3</v>
      </c>
      <c r="P244" s="3">
        <v>3</v>
      </c>
      <c r="Q244" s="3">
        <v>60</v>
      </c>
      <c r="R244" s="3" t="s">
        <v>32</v>
      </c>
      <c r="S244" s="3">
        <v>23</v>
      </c>
      <c r="T244" s="3" t="s">
        <v>38</v>
      </c>
      <c r="U244" s="3">
        <v>15</v>
      </c>
      <c r="V244" s="3" t="s">
        <v>32</v>
      </c>
      <c r="W244" s="4"/>
      <c r="X244" s="4" t="str">
        <f t="shared" si="3"/>
        <v>Active</v>
      </c>
      <c r="Y244" s="3" t="s">
        <v>62</v>
      </c>
    </row>
    <row r="245" spans="1:25">
      <c r="A245" s="2">
        <v>10244</v>
      </c>
      <c r="B245" s="3" t="s">
        <v>310</v>
      </c>
      <c r="C245" s="3" t="s">
        <v>41</v>
      </c>
      <c r="D245" s="3">
        <v>35</v>
      </c>
      <c r="E245" s="3" t="s">
        <v>35</v>
      </c>
      <c r="F245" s="3" t="s">
        <v>36</v>
      </c>
      <c r="G245" s="3" t="s">
        <v>37</v>
      </c>
      <c r="H245" s="3" t="s">
        <v>29</v>
      </c>
      <c r="I245" s="4">
        <v>43551</v>
      </c>
      <c r="J245" s="3">
        <v>7</v>
      </c>
      <c r="K245" s="5">
        <v>79108.100000000006</v>
      </c>
      <c r="L245" s="5">
        <v>6077.39</v>
      </c>
      <c r="M245" s="3" t="s">
        <v>30</v>
      </c>
      <c r="N245" s="3">
        <v>4</v>
      </c>
      <c r="O245" s="3">
        <v>4</v>
      </c>
      <c r="P245" s="3">
        <v>2</v>
      </c>
      <c r="Q245" s="3">
        <v>33</v>
      </c>
      <c r="R245" s="3" t="s">
        <v>30</v>
      </c>
      <c r="S245" s="3">
        <v>21</v>
      </c>
      <c r="T245" s="3" t="s">
        <v>52</v>
      </c>
      <c r="U245" s="3">
        <v>16</v>
      </c>
      <c r="V245" s="3" t="s">
        <v>32</v>
      </c>
      <c r="W245" s="4"/>
      <c r="X245" s="4" t="str">
        <f t="shared" si="3"/>
        <v>Active</v>
      </c>
      <c r="Y245" s="3" t="s">
        <v>75</v>
      </c>
    </row>
    <row r="246" spans="1:25">
      <c r="A246" s="2">
        <v>10245</v>
      </c>
      <c r="B246" s="3" t="s">
        <v>311</v>
      </c>
      <c r="C246" s="3" t="s">
        <v>41</v>
      </c>
      <c r="D246" s="3">
        <v>55</v>
      </c>
      <c r="E246" s="3" t="s">
        <v>35</v>
      </c>
      <c r="F246" s="3" t="s">
        <v>51</v>
      </c>
      <c r="G246" s="3" t="s">
        <v>28</v>
      </c>
      <c r="H246" s="3" t="s">
        <v>29</v>
      </c>
      <c r="I246" s="4">
        <v>41673</v>
      </c>
      <c r="J246" s="3">
        <v>12</v>
      </c>
      <c r="K246" s="5">
        <v>41831.199999999997</v>
      </c>
      <c r="L246" s="5">
        <v>1436.75</v>
      </c>
      <c r="M246" s="3" t="s">
        <v>32</v>
      </c>
      <c r="N246" s="3">
        <v>4</v>
      </c>
      <c r="O246" s="3">
        <v>3</v>
      </c>
      <c r="P246" s="3">
        <v>5</v>
      </c>
      <c r="Q246" s="3">
        <v>62</v>
      </c>
      <c r="R246" s="3" t="s">
        <v>30</v>
      </c>
      <c r="S246" s="3">
        <v>1</v>
      </c>
      <c r="T246" s="3" t="s">
        <v>52</v>
      </c>
      <c r="U246" s="3">
        <v>1</v>
      </c>
      <c r="V246" s="3" t="s">
        <v>32</v>
      </c>
      <c r="W246" s="4"/>
      <c r="X246" s="4" t="str">
        <f t="shared" si="3"/>
        <v>Active</v>
      </c>
      <c r="Y246" s="3" t="s">
        <v>39</v>
      </c>
    </row>
    <row r="247" spans="1:25">
      <c r="A247" s="2">
        <v>10246</v>
      </c>
      <c r="B247" s="3" t="s">
        <v>312</v>
      </c>
      <c r="C247" s="3" t="s">
        <v>25</v>
      </c>
      <c r="D247" s="3">
        <v>38</v>
      </c>
      <c r="E247" s="3" t="s">
        <v>26</v>
      </c>
      <c r="F247" s="3" t="s">
        <v>113</v>
      </c>
      <c r="G247" s="3" t="s">
        <v>37</v>
      </c>
      <c r="H247" s="3" t="s">
        <v>29</v>
      </c>
      <c r="I247" s="4">
        <v>40917</v>
      </c>
      <c r="J247" s="3">
        <v>14</v>
      </c>
      <c r="K247" s="5">
        <v>54794.44</v>
      </c>
      <c r="L247" s="5">
        <v>4611.79</v>
      </c>
      <c r="M247" s="3" t="s">
        <v>32</v>
      </c>
      <c r="N247" s="3">
        <v>3</v>
      </c>
      <c r="O247" s="3">
        <v>4</v>
      </c>
      <c r="P247" s="3">
        <v>3</v>
      </c>
      <c r="Q247" s="3">
        <v>59</v>
      </c>
      <c r="R247" s="3" t="s">
        <v>32</v>
      </c>
      <c r="S247" s="3">
        <v>2</v>
      </c>
      <c r="T247" s="3" t="s">
        <v>38</v>
      </c>
      <c r="U247" s="3">
        <v>2</v>
      </c>
      <c r="V247" s="3" t="s">
        <v>32</v>
      </c>
      <c r="W247" s="4"/>
      <c r="X247" s="4" t="str">
        <f t="shared" si="3"/>
        <v>Active</v>
      </c>
      <c r="Y247" s="3" t="s">
        <v>87</v>
      </c>
    </row>
    <row r="248" spans="1:25">
      <c r="A248" s="2">
        <v>10247</v>
      </c>
      <c r="B248" s="3" t="s">
        <v>313</v>
      </c>
      <c r="C248" s="3" t="s">
        <v>25</v>
      </c>
      <c r="D248" s="3">
        <v>46</v>
      </c>
      <c r="E248" s="3" t="s">
        <v>42</v>
      </c>
      <c r="F248" s="3" t="s">
        <v>70</v>
      </c>
      <c r="G248" s="3" t="s">
        <v>28</v>
      </c>
      <c r="H248" s="3" t="s">
        <v>57</v>
      </c>
      <c r="I248" s="4">
        <v>43304</v>
      </c>
      <c r="J248" s="3">
        <v>8</v>
      </c>
      <c r="K248" s="5">
        <v>80553.86</v>
      </c>
      <c r="L248" s="5">
        <v>2888.26</v>
      </c>
      <c r="M248" s="3" t="s">
        <v>32</v>
      </c>
      <c r="N248" s="3">
        <v>2</v>
      </c>
      <c r="O248" s="3">
        <v>4</v>
      </c>
      <c r="P248" s="3">
        <v>4</v>
      </c>
      <c r="Q248" s="3">
        <v>31</v>
      </c>
      <c r="R248" s="3" t="s">
        <v>32</v>
      </c>
      <c r="S248" s="3">
        <v>2</v>
      </c>
      <c r="T248" s="3" t="s">
        <v>52</v>
      </c>
      <c r="U248" s="3">
        <v>14</v>
      </c>
      <c r="V248" s="3" t="s">
        <v>32</v>
      </c>
      <c r="W248" s="4"/>
      <c r="X248" s="4" t="str">
        <f t="shared" si="3"/>
        <v>Active</v>
      </c>
      <c r="Y248" s="3" t="s">
        <v>65</v>
      </c>
    </row>
    <row r="249" spans="1:25">
      <c r="A249" s="2">
        <v>10248</v>
      </c>
      <c r="B249" s="3" t="s">
        <v>227</v>
      </c>
      <c r="C249" s="3" t="s">
        <v>25</v>
      </c>
      <c r="D249" s="3">
        <v>40</v>
      </c>
      <c r="E249" s="3" t="s">
        <v>102</v>
      </c>
      <c r="F249" s="3" t="s">
        <v>165</v>
      </c>
      <c r="G249" s="3" t="s">
        <v>37</v>
      </c>
      <c r="H249" s="3" t="s">
        <v>29</v>
      </c>
      <c r="I249" s="4">
        <v>44681</v>
      </c>
      <c r="J249" s="3">
        <v>4</v>
      </c>
      <c r="K249" s="5">
        <v>58441.68</v>
      </c>
      <c r="L249" s="5">
        <v>3093.36</v>
      </c>
      <c r="M249" s="3" t="s">
        <v>32</v>
      </c>
      <c r="N249" s="3">
        <v>2</v>
      </c>
      <c r="O249" s="3">
        <v>3</v>
      </c>
      <c r="P249" s="3">
        <v>1</v>
      </c>
      <c r="Q249" s="3">
        <v>27</v>
      </c>
      <c r="R249" s="3" t="s">
        <v>32</v>
      </c>
      <c r="S249" s="3">
        <v>8</v>
      </c>
      <c r="T249" s="3" t="s">
        <v>31</v>
      </c>
      <c r="U249" s="3">
        <v>13</v>
      </c>
      <c r="V249" s="3" t="s">
        <v>32</v>
      </c>
      <c r="W249" s="4"/>
      <c r="X249" s="4" t="str">
        <f t="shared" si="3"/>
        <v>Active</v>
      </c>
      <c r="Y249" s="3" t="s">
        <v>87</v>
      </c>
    </row>
    <row r="250" spans="1:25">
      <c r="A250" s="2">
        <v>10249</v>
      </c>
      <c r="B250" s="3" t="s">
        <v>314</v>
      </c>
      <c r="C250" s="3" t="s">
        <v>41</v>
      </c>
      <c r="D250" s="3">
        <v>46</v>
      </c>
      <c r="E250" s="3" t="s">
        <v>35</v>
      </c>
      <c r="F250" s="3" t="s">
        <v>80</v>
      </c>
      <c r="G250" s="3" t="s">
        <v>67</v>
      </c>
      <c r="H250" s="3" t="s">
        <v>29</v>
      </c>
      <c r="I250" s="4">
        <v>44939</v>
      </c>
      <c r="J250" s="3">
        <v>3</v>
      </c>
      <c r="K250" s="5">
        <v>74173.759999999995</v>
      </c>
      <c r="L250" s="5">
        <v>6066.31</v>
      </c>
      <c r="M250" s="3" t="s">
        <v>32</v>
      </c>
      <c r="N250" s="3">
        <v>3</v>
      </c>
      <c r="O250" s="3">
        <v>1</v>
      </c>
      <c r="P250" s="3">
        <v>2</v>
      </c>
      <c r="Q250" s="3">
        <v>20</v>
      </c>
      <c r="R250" s="3" t="s">
        <v>32</v>
      </c>
      <c r="S250" s="3">
        <v>22</v>
      </c>
      <c r="T250" s="3" t="s">
        <v>31</v>
      </c>
      <c r="U250" s="3">
        <v>10</v>
      </c>
      <c r="V250" s="3" t="s">
        <v>32</v>
      </c>
      <c r="W250" s="4"/>
      <c r="X250" s="4" t="str">
        <f t="shared" si="3"/>
        <v>Active</v>
      </c>
      <c r="Y250" s="3" t="s">
        <v>62</v>
      </c>
    </row>
    <row r="251" spans="1:25">
      <c r="A251" s="2">
        <v>10250</v>
      </c>
      <c r="B251" s="3" t="s">
        <v>246</v>
      </c>
      <c r="C251" s="3" t="s">
        <v>25</v>
      </c>
      <c r="D251" s="3">
        <v>30</v>
      </c>
      <c r="E251" s="3" t="s">
        <v>48</v>
      </c>
      <c r="F251" s="3" t="s">
        <v>125</v>
      </c>
      <c r="G251" s="3" t="s">
        <v>28</v>
      </c>
      <c r="H251" s="3" t="s">
        <v>29</v>
      </c>
      <c r="I251" s="4">
        <v>42773</v>
      </c>
      <c r="J251" s="3">
        <v>9</v>
      </c>
      <c r="K251" s="5">
        <v>88992.16</v>
      </c>
      <c r="L251" s="5">
        <v>10902.7</v>
      </c>
      <c r="M251" s="3" t="s">
        <v>32</v>
      </c>
      <c r="N251" s="3">
        <v>4</v>
      </c>
      <c r="O251" s="3">
        <v>2</v>
      </c>
      <c r="P251" s="3">
        <v>1</v>
      </c>
      <c r="Q251" s="3">
        <v>48</v>
      </c>
      <c r="R251" s="3" t="s">
        <v>32</v>
      </c>
      <c r="S251" s="3">
        <v>5</v>
      </c>
      <c r="T251" s="3" t="s">
        <v>38</v>
      </c>
      <c r="U251" s="3">
        <v>1</v>
      </c>
      <c r="V251" s="3" t="s">
        <v>32</v>
      </c>
      <c r="W251" s="4"/>
      <c r="X251" s="4" t="str">
        <f t="shared" si="3"/>
        <v>Active</v>
      </c>
      <c r="Y251" s="3" t="s">
        <v>71</v>
      </c>
    </row>
    <row r="252" spans="1:25">
      <c r="A252" s="2">
        <v>10251</v>
      </c>
      <c r="B252" s="3" t="s">
        <v>88</v>
      </c>
      <c r="C252" s="3" t="s">
        <v>41</v>
      </c>
      <c r="D252" s="3">
        <v>52</v>
      </c>
      <c r="E252" s="3" t="s">
        <v>26</v>
      </c>
      <c r="F252" s="3" t="s">
        <v>27</v>
      </c>
      <c r="G252" s="3" t="s">
        <v>37</v>
      </c>
      <c r="H252" s="3" t="s">
        <v>57</v>
      </c>
      <c r="I252" s="4">
        <v>44016</v>
      </c>
      <c r="J252" s="3">
        <v>6</v>
      </c>
      <c r="K252" s="5">
        <v>62896.09</v>
      </c>
      <c r="L252" s="5">
        <v>8055.44</v>
      </c>
      <c r="M252" s="3" t="s">
        <v>32</v>
      </c>
      <c r="N252" s="3">
        <v>5</v>
      </c>
      <c r="O252" s="3">
        <v>2</v>
      </c>
      <c r="P252" s="3">
        <v>1</v>
      </c>
      <c r="Q252" s="3">
        <v>67</v>
      </c>
      <c r="R252" s="3" t="s">
        <v>30</v>
      </c>
      <c r="S252" s="3">
        <v>10</v>
      </c>
      <c r="T252" s="3" t="s">
        <v>38</v>
      </c>
      <c r="U252" s="3">
        <v>17</v>
      </c>
      <c r="V252" s="3" t="s">
        <v>32</v>
      </c>
      <c r="W252" s="4"/>
      <c r="X252" s="4" t="str">
        <f t="shared" si="3"/>
        <v>Active</v>
      </c>
      <c r="Y252" s="3" t="s">
        <v>39</v>
      </c>
    </row>
    <row r="253" spans="1:25">
      <c r="A253" s="2">
        <v>10252</v>
      </c>
      <c r="B253" s="3" t="s">
        <v>315</v>
      </c>
      <c r="C253" s="3" t="s">
        <v>41</v>
      </c>
      <c r="D253" s="3">
        <v>22</v>
      </c>
      <c r="E253" s="3" t="s">
        <v>60</v>
      </c>
      <c r="F253" s="3" t="s">
        <v>122</v>
      </c>
      <c r="G253" s="3" t="s">
        <v>37</v>
      </c>
      <c r="H253" s="3" t="s">
        <v>29</v>
      </c>
      <c r="I253" s="4">
        <v>42806</v>
      </c>
      <c r="J253" s="3">
        <v>9</v>
      </c>
      <c r="K253" s="5">
        <v>99075.27</v>
      </c>
      <c r="L253" s="5">
        <v>10460.129999999999</v>
      </c>
      <c r="M253" s="3" t="s">
        <v>32</v>
      </c>
      <c r="N253" s="3">
        <v>4</v>
      </c>
      <c r="O253" s="3">
        <v>2</v>
      </c>
      <c r="P253" s="3">
        <v>5</v>
      </c>
      <c r="Q253" s="3">
        <v>63</v>
      </c>
      <c r="R253" s="3" t="s">
        <v>32</v>
      </c>
      <c r="S253" s="3">
        <v>5</v>
      </c>
      <c r="T253" s="3" t="s">
        <v>31</v>
      </c>
      <c r="U253" s="3">
        <v>9</v>
      </c>
      <c r="V253" s="3" t="s">
        <v>32</v>
      </c>
      <c r="W253" s="4"/>
      <c r="X253" s="4" t="str">
        <f t="shared" si="3"/>
        <v>Active</v>
      </c>
      <c r="Y253" s="3" t="s">
        <v>132</v>
      </c>
    </row>
    <row r="254" spans="1:25">
      <c r="A254" s="2">
        <v>10253</v>
      </c>
      <c r="B254" s="3" t="s">
        <v>316</v>
      </c>
      <c r="C254" s="3" t="s">
        <v>41</v>
      </c>
      <c r="D254" s="3">
        <v>54</v>
      </c>
      <c r="E254" s="3" t="s">
        <v>48</v>
      </c>
      <c r="F254" s="3" t="s">
        <v>125</v>
      </c>
      <c r="G254" s="3" t="s">
        <v>67</v>
      </c>
      <c r="H254" s="3" t="s">
        <v>29</v>
      </c>
      <c r="I254" s="4">
        <v>41642</v>
      </c>
      <c r="J254" s="3">
        <v>12</v>
      </c>
      <c r="K254" s="5">
        <v>83042.100000000006</v>
      </c>
      <c r="L254" s="5">
        <v>3842.38</v>
      </c>
      <c r="M254" s="3" t="s">
        <v>32</v>
      </c>
      <c r="N254" s="3">
        <v>1</v>
      </c>
      <c r="O254" s="3">
        <v>1</v>
      </c>
      <c r="P254" s="3">
        <v>5</v>
      </c>
      <c r="Q254" s="3">
        <v>49</v>
      </c>
      <c r="R254" s="3" t="s">
        <v>32</v>
      </c>
      <c r="S254" s="3">
        <v>17</v>
      </c>
      <c r="T254" s="3" t="s">
        <v>31</v>
      </c>
      <c r="U254" s="3">
        <v>18</v>
      </c>
      <c r="V254" s="3" t="s">
        <v>32</v>
      </c>
      <c r="W254" s="4"/>
      <c r="X254" s="4" t="str">
        <f t="shared" si="3"/>
        <v>Active</v>
      </c>
      <c r="Y254" s="3" t="s">
        <v>46</v>
      </c>
    </row>
    <row r="255" spans="1:25">
      <c r="A255" s="2">
        <v>10254</v>
      </c>
      <c r="B255" s="3" t="s">
        <v>317</v>
      </c>
      <c r="C255" s="3" t="s">
        <v>25</v>
      </c>
      <c r="D255" s="3">
        <v>25</v>
      </c>
      <c r="E255" s="3" t="s">
        <v>42</v>
      </c>
      <c r="F255" s="3" t="s">
        <v>127</v>
      </c>
      <c r="G255" s="3" t="s">
        <v>37</v>
      </c>
      <c r="H255" s="3" t="s">
        <v>29</v>
      </c>
      <c r="I255" s="4">
        <v>44013</v>
      </c>
      <c r="J255" s="3">
        <v>6</v>
      </c>
      <c r="K255" s="5">
        <v>79056.100000000006</v>
      </c>
      <c r="L255" s="5">
        <v>2204.96</v>
      </c>
      <c r="M255" s="3" t="s">
        <v>32</v>
      </c>
      <c r="N255" s="3">
        <v>4</v>
      </c>
      <c r="O255" s="3">
        <v>3</v>
      </c>
      <c r="P255" s="3">
        <v>1</v>
      </c>
      <c r="Q255" s="3">
        <v>78</v>
      </c>
      <c r="R255" s="3" t="s">
        <v>32</v>
      </c>
      <c r="S255" s="3">
        <v>2</v>
      </c>
      <c r="T255" s="3" t="s">
        <v>31</v>
      </c>
      <c r="U255" s="3">
        <v>2</v>
      </c>
      <c r="V255" s="3" t="s">
        <v>32</v>
      </c>
      <c r="W255" s="4"/>
      <c r="X255" s="4" t="str">
        <f t="shared" si="3"/>
        <v>Active</v>
      </c>
      <c r="Y255" s="3" t="s">
        <v>65</v>
      </c>
    </row>
    <row r="256" spans="1:25">
      <c r="A256" s="2">
        <v>10255</v>
      </c>
      <c r="B256" s="3" t="s">
        <v>277</v>
      </c>
      <c r="C256" s="3" t="s">
        <v>25</v>
      </c>
      <c r="D256" s="3">
        <v>27</v>
      </c>
      <c r="E256" s="3" t="s">
        <v>48</v>
      </c>
      <c r="F256" s="3" t="s">
        <v>111</v>
      </c>
      <c r="G256" s="3" t="s">
        <v>37</v>
      </c>
      <c r="H256" s="3" t="s">
        <v>29</v>
      </c>
      <c r="I256" s="4">
        <v>41761</v>
      </c>
      <c r="J256" s="3">
        <v>12</v>
      </c>
      <c r="K256" s="5">
        <v>63940.56</v>
      </c>
      <c r="L256" s="5">
        <v>3346.6</v>
      </c>
      <c r="M256" s="3" t="s">
        <v>32</v>
      </c>
      <c r="N256" s="3">
        <v>2</v>
      </c>
      <c r="O256" s="3">
        <v>5</v>
      </c>
      <c r="P256" s="3">
        <v>5</v>
      </c>
      <c r="Q256" s="3">
        <v>53</v>
      </c>
      <c r="R256" s="3" t="s">
        <v>32</v>
      </c>
      <c r="S256" s="3">
        <v>25</v>
      </c>
      <c r="T256" s="3" t="s">
        <v>31</v>
      </c>
      <c r="U256" s="3">
        <v>18</v>
      </c>
      <c r="V256" s="3" t="s">
        <v>32</v>
      </c>
      <c r="W256" s="4"/>
      <c r="X256" s="4" t="str">
        <f t="shared" si="3"/>
        <v>Active</v>
      </c>
      <c r="Y256" s="3" t="s">
        <v>71</v>
      </c>
    </row>
    <row r="257" spans="1:25">
      <c r="A257" s="2">
        <v>10256</v>
      </c>
      <c r="B257" s="3" t="s">
        <v>318</v>
      </c>
      <c r="C257" s="3" t="s">
        <v>41</v>
      </c>
      <c r="D257" s="3">
        <v>32</v>
      </c>
      <c r="E257" s="3" t="s">
        <v>60</v>
      </c>
      <c r="F257" s="3" t="s">
        <v>180</v>
      </c>
      <c r="G257" s="3" t="s">
        <v>37</v>
      </c>
      <c r="H257" s="3" t="s">
        <v>45</v>
      </c>
      <c r="I257" s="4">
        <v>41474</v>
      </c>
      <c r="J257" s="3">
        <v>13</v>
      </c>
      <c r="K257" s="5">
        <v>85042.54</v>
      </c>
      <c r="L257" s="5">
        <v>8333.24</v>
      </c>
      <c r="M257" s="3" t="s">
        <v>32</v>
      </c>
      <c r="N257" s="3">
        <v>3</v>
      </c>
      <c r="O257" s="3">
        <v>5</v>
      </c>
      <c r="P257" s="3">
        <v>3</v>
      </c>
      <c r="Q257" s="3">
        <v>47</v>
      </c>
      <c r="R257" s="3" t="s">
        <v>32</v>
      </c>
      <c r="S257" s="3">
        <v>21</v>
      </c>
      <c r="T257" s="3" t="s">
        <v>38</v>
      </c>
      <c r="U257" s="3">
        <v>10</v>
      </c>
      <c r="V257" s="3" t="s">
        <v>32</v>
      </c>
      <c r="W257" s="4"/>
      <c r="X257" s="4" t="str">
        <f t="shared" si="3"/>
        <v>Active</v>
      </c>
      <c r="Y257" s="3" t="s">
        <v>81</v>
      </c>
    </row>
    <row r="258" spans="1:25">
      <c r="A258" s="2">
        <v>10257</v>
      </c>
      <c r="B258" s="3" t="s">
        <v>319</v>
      </c>
      <c r="C258" s="3" t="s">
        <v>25</v>
      </c>
      <c r="D258" s="3">
        <v>56</v>
      </c>
      <c r="E258" s="3" t="s">
        <v>48</v>
      </c>
      <c r="F258" s="3" t="s">
        <v>49</v>
      </c>
      <c r="G258" s="3" t="s">
        <v>28</v>
      </c>
      <c r="H258" s="3" t="s">
        <v>57</v>
      </c>
      <c r="I258" s="4">
        <v>43844</v>
      </c>
      <c r="J258" s="3">
        <v>6</v>
      </c>
      <c r="K258" s="5">
        <v>87790.34</v>
      </c>
      <c r="L258" s="5">
        <v>1758.04</v>
      </c>
      <c r="M258" s="3" t="s">
        <v>30</v>
      </c>
      <c r="N258" s="3">
        <v>3</v>
      </c>
      <c r="O258" s="3">
        <v>5</v>
      </c>
      <c r="P258" s="3">
        <v>1</v>
      </c>
      <c r="Q258" s="3">
        <v>66</v>
      </c>
      <c r="R258" s="3" t="s">
        <v>30</v>
      </c>
      <c r="S258" s="3">
        <v>29</v>
      </c>
      <c r="T258" s="3" t="s">
        <v>38</v>
      </c>
      <c r="U258" s="3">
        <v>0</v>
      </c>
      <c r="V258" s="3" t="s">
        <v>32</v>
      </c>
      <c r="W258" s="4"/>
      <c r="X258" s="4" t="str">
        <f t="shared" ref="X258:X301" si="4">IF(W258="","Active","Exited")</f>
        <v>Active</v>
      </c>
      <c r="Y258" s="3" t="s">
        <v>68</v>
      </c>
    </row>
    <row r="259" spans="1:25">
      <c r="A259" s="2">
        <v>10258</v>
      </c>
      <c r="B259" s="3" t="s">
        <v>320</v>
      </c>
      <c r="C259" s="3" t="s">
        <v>25</v>
      </c>
      <c r="D259" s="3">
        <v>38</v>
      </c>
      <c r="E259" s="3" t="s">
        <v>60</v>
      </c>
      <c r="F259" s="3" t="s">
        <v>64</v>
      </c>
      <c r="G259" s="3" t="s">
        <v>67</v>
      </c>
      <c r="H259" s="3" t="s">
        <v>57</v>
      </c>
      <c r="I259" s="4">
        <v>43092</v>
      </c>
      <c r="J259" s="3">
        <v>9</v>
      </c>
      <c r="K259" s="5">
        <v>56708.03</v>
      </c>
      <c r="L259" s="5">
        <v>3087.67</v>
      </c>
      <c r="M259" s="3" t="s">
        <v>32</v>
      </c>
      <c r="N259" s="3">
        <v>2</v>
      </c>
      <c r="O259" s="3">
        <v>2</v>
      </c>
      <c r="P259" s="3">
        <v>3</v>
      </c>
      <c r="Q259" s="3">
        <v>38</v>
      </c>
      <c r="R259" s="3" t="s">
        <v>30</v>
      </c>
      <c r="S259" s="3">
        <v>13</v>
      </c>
      <c r="T259" s="3" t="s">
        <v>31</v>
      </c>
      <c r="U259" s="3">
        <v>6</v>
      </c>
      <c r="V259" s="3" t="s">
        <v>32</v>
      </c>
      <c r="W259" s="4"/>
      <c r="X259" s="4" t="str">
        <f t="shared" si="4"/>
        <v>Active</v>
      </c>
      <c r="Y259" s="3" t="s">
        <v>53</v>
      </c>
    </row>
    <row r="260" spans="1:25">
      <c r="A260" s="2">
        <v>10259</v>
      </c>
      <c r="B260" s="3" t="s">
        <v>218</v>
      </c>
      <c r="C260" s="3" t="s">
        <v>41</v>
      </c>
      <c r="D260" s="3">
        <v>52</v>
      </c>
      <c r="E260" s="3" t="s">
        <v>35</v>
      </c>
      <c r="F260" s="3" t="s">
        <v>36</v>
      </c>
      <c r="G260" s="3" t="s">
        <v>37</v>
      </c>
      <c r="H260" s="3" t="s">
        <v>57</v>
      </c>
      <c r="I260" s="4">
        <v>40485</v>
      </c>
      <c r="J260" s="3">
        <v>16</v>
      </c>
      <c r="K260" s="5">
        <v>71539.47</v>
      </c>
      <c r="L260" s="5">
        <v>6790.3</v>
      </c>
      <c r="M260" s="3" t="s">
        <v>30</v>
      </c>
      <c r="N260" s="3">
        <v>1</v>
      </c>
      <c r="O260" s="3">
        <v>3</v>
      </c>
      <c r="P260" s="3">
        <v>3</v>
      </c>
      <c r="Q260" s="3">
        <v>55</v>
      </c>
      <c r="R260" s="3" t="s">
        <v>32</v>
      </c>
      <c r="S260" s="3">
        <v>28</v>
      </c>
      <c r="T260" s="3" t="s">
        <v>52</v>
      </c>
      <c r="U260" s="3">
        <v>7</v>
      </c>
      <c r="V260" s="3" t="s">
        <v>32</v>
      </c>
      <c r="W260" s="4"/>
      <c r="X260" s="4" t="str">
        <f t="shared" si="4"/>
        <v>Active</v>
      </c>
      <c r="Y260" s="3" t="s">
        <v>55</v>
      </c>
    </row>
    <row r="261" spans="1:25">
      <c r="A261" s="2">
        <v>10260</v>
      </c>
      <c r="B261" s="3" t="s">
        <v>321</v>
      </c>
      <c r="C261" s="3" t="s">
        <v>25</v>
      </c>
      <c r="D261" s="3">
        <v>40</v>
      </c>
      <c r="E261" s="3" t="s">
        <v>60</v>
      </c>
      <c r="F261" s="3" t="s">
        <v>61</v>
      </c>
      <c r="G261" s="3" t="s">
        <v>28</v>
      </c>
      <c r="H261" s="3" t="s">
        <v>45</v>
      </c>
      <c r="I261" s="4">
        <v>41404</v>
      </c>
      <c r="J261" s="3">
        <v>13</v>
      </c>
      <c r="K261" s="5">
        <v>69512.37</v>
      </c>
      <c r="L261" s="5">
        <v>7695.71</v>
      </c>
      <c r="M261" s="3" t="s">
        <v>30</v>
      </c>
      <c r="N261" s="3">
        <v>4</v>
      </c>
      <c r="O261" s="3">
        <v>4</v>
      </c>
      <c r="P261" s="3">
        <v>5</v>
      </c>
      <c r="Q261" s="3">
        <v>73</v>
      </c>
      <c r="R261" s="3" t="s">
        <v>32</v>
      </c>
      <c r="S261" s="3">
        <v>8</v>
      </c>
      <c r="T261" s="3" t="s">
        <v>38</v>
      </c>
      <c r="U261" s="3">
        <v>9</v>
      </c>
      <c r="V261" s="3" t="s">
        <v>32</v>
      </c>
      <c r="W261" s="4"/>
      <c r="X261" s="4" t="str">
        <f t="shared" si="4"/>
        <v>Active</v>
      </c>
      <c r="Y261" s="3" t="s">
        <v>87</v>
      </c>
    </row>
    <row r="262" spans="1:25">
      <c r="A262" s="2">
        <v>10261</v>
      </c>
      <c r="B262" s="3" t="s">
        <v>322</v>
      </c>
      <c r="C262" s="3" t="s">
        <v>25</v>
      </c>
      <c r="D262" s="3">
        <v>51</v>
      </c>
      <c r="E262" s="3" t="s">
        <v>60</v>
      </c>
      <c r="F262" s="3" t="s">
        <v>61</v>
      </c>
      <c r="G262" s="3" t="s">
        <v>37</v>
      </c>
      <c r="H262" s="3" t="s">
        <v>57</v>
      </c>
      <c r="I262" s="4">
        <v>40875</v>
      </c>
      <c r="J262" s="3">
        <v>15</v>
      </c>
      <c r="K262" s="5">
        <v>74889.53</v>
      </c>
      <c r="L262" s="5">
        <v>5727.84</v>
      </c>
      <c r="M262" s="3" t="s">
        <v>32</v>
      </c>
      <c r="N262" s="3">
        <v>2</v>
      </c>
      <c r="O262" s="3">
        <v>4</v>
      </c>
      <c r="P262" s="3">
        <v>5</v>
      </c>
      <c r="Q262" s="3">
        <v>25</v>
      </c>
      <c r="R262" s="3" t="s">
        <v>32</v>
      </c>
      <c r="S262" s="3">
        <v>21</v>
      </c>
      <c r="T262" s="3" t="s">
        <v>31</v>
      </c>
      <c r="U262" s="3">
        <v>6</v>
      </c>
      <c r="V262" s="3" t="s">
        <v>32</v>
      </c>
      <c r="W262" s="4"/>
      <c r="X262" s="4" t="str">
        <f t="shared" si="4"/>
        <v>Active</v>
      </c>
      <c r="Y262" s="3" t="s">
        <v>53</v>
      </c>
    </row>
    <row r="263" spans="1:25">
      <c r="A263" s="2">
        <v>10262</v>
      </c>
      <c r="B263" s="3" t="s">
        <v>201</v>
      </c>
      <c r="C263" s="3" t="s">
        <v>25</v>
      </c>
      <c r="D263" s="3">
        <v>38</v>
      </c>
      <c r="E263" s="3" t="s">
        <v>35</v>
      </c>
      <c r="F263" s="3" t="s">
        <v>90</v>
      </c>
      <c r="G263" s="3" t="s">
        <v>28</v>
      </c>
      <c r="H263" s="3" t="s">
        <v>45</v>
      </c>
      <c r="I263" s="4">
        <v>40912</v>
      </c>
      <c r="J263" s="3">
        <v>14</v>
      </c>
      <c r="K263" s="5">
        <v>40626.49</v>
      </c>
      <c r="L263" s="5">
        <v>2996.84</v>
      </c>
      <c r="M263" s="3" t="s">
        <v>32</v>
      </c>
      <c r="N263" s="3">
        <v>2</v>
      </c>
      <c r="O263" s="3">
        <v>3</v>
      </c>
      <c r="P263" s="3">
        <v>3</v>
      </c>
      <c r="Q263" s="3">
        <v>76</v>
      </c>
      <c r="R263" s="3" t="s">
        <v>32</v>
      </c>
      <c r="S263" s="3">
        <v>25</v>
      </c>
      <c r="T263" s="3" t="s">
        <v>38</v>
      </c>
      <c r="U263" s="3">
        <v>5</v>
      </c>
      <c r="V263" s="3" t="s">
        <v>32</v>
      </c>
      <c r="W263" s="4"/>
      <c r="X263" s="4" t="str">
        <f t="shared" si="4"/>
        <v>Active</v>
      </c>
      <c r="Y263" s="3" t="s">
        <v>81</v>
      </c>
    </row>
    <row r="264" spans="1:25">
      <c r="A264" s="2">
        <v>10263</v>
      </c>
      <c r="B264" s="3" t="s">
        <v>323</v>
      </c>
      <c r="C264" s="3" t="s">
        <v>41</v>
      </c>
      <c r="D264" s="3">
        <v>49</v>
      </c>
      <c r="E264" s="3" t="s">
        <v>42</v>
      </c>
      <c r="F264" s="3" t="s">
        <v>127</v>
      </c>
      <c r="G264" s="3" t="s">
        <v>28</v>
      </c>
      <c r="H264" s="3" t="s">
        <v>57</v>
      </c>
      <c r="I264" s="4">
        <v>41456</v>
      </c>
      <c r="J264" s="3">
        <v>13</v>
      </c>
      <c r="K264" s="5">
        <v>76675.360000000001</v>
      </c>
      <c r="L264" s="5">
        <v>10033.69</v>
      </c>
      <c r="M264" s="3" t="s">
        <v>30</v>
      </c>
      <c r="N264" s="3">
        <v>1</v>
      </c>
      <c r="O264" s="3">
        <v>2</v>
      </c>
      <c r="P264" s="3">
        <v>5</v>
      </c>
      <c r="Q264" s="3">
        <v>18</v>
      </c>
      <c r="R264" s="3" t="s">
        <v>32</v>
      </c>
      <c r="S264" s="3">
        <v>27</v>
      </c>
      <c r="T264" s="3" t="s">
        <v>38</v>
      </c>
      <c r="U264" s="3">
        <v>0</v>
      </c>
      <c r="V264" s="3" t="s">
        <v>32</v>
      </c>
      <c r="W264" s="4"/>
      <c r="X264" s="4" t="str">
        <f t="shared" si="4"/>
        <v>Active</v>
      </c>
      <c r="Y264" s="3" t="s">
        <v>62</v>
      </c>
    </row>
    <row r="265" spans="1:25">
      <c r="A265" s="2">
        <v>10264</v>
      </c>
      <c r="B265" s="3" t="s">
        <v>324</v>
      </c>
      <c r="C265" s="3" t="s">
        <v>25</v>
      </c>
      <c r="D265" s="3">
        <v>51</v>
      </c>
      <c r="E265" s="3" t="s">
        <v>42</v>
      </c>
      <c r="F265" s="3" t="s">
        <v>43</v>
      </c>
      <c r="G265" s="3" t="s">
        <v>28</v>
      </c>
      <c r="H265" s="3" t="s">
        <v>45</v>
      </c>
      <c r="I265" s="4">
        <v>41914</v>
      </c>
      <c r="J265" s="3">
        <v>12</v>
      </c>
      <c r="K265" s="5">
        <v>46209.07</v>
      </c>
      <c r="L265" s="5">
        <v>4067.53</v>
      </c>
      <c r="M265" s="3" t="s">
        <v>30</v>
      </c>
      <c r="N265" s="3">
        <v>4</v>
      </c>
      <c r="O265" s="3">
        <v>5</v>
      </c>
      <c r="P265" s="3">
        <v>2</v>
      </c>
      <c r="Q265" s="3">
        <v>2</v>
      </c>
      <c r="R265" s="3" t="s">
        <v>32</v>
      </c>
      <c r="S265" s="3">
        <v>29</v>
      </c>
      <c r="T265" s="3" t="s">
        <v>31</v>
      </c>
      <c r="U265" s="3">
        <v>16</v>
      </c>
      <c r="V265" s="3" t="s">
        <v>30</v>
      </c>
      <c r="W265" s="4">
        <v>44910</v>
      </c>
      <c r="X265" s="4" t="str">
        <f t="shared" si="4"/>
        <v>Exited</v>
      </c>
      <c r="Y265" s="3" t="s">
        <v>39</v>
      </c>
    </row>
    <row r="266" spans="1:25">
      <c r="A266" s="2">
        <v>10265</v>
      </c>
      <c r="B266" s="3" t="s">
        <v>325</v>
      </c>
      <c r="C266" s="3" t="s">
        <v>41</v>
      </c>
      <c r="D266" s="3">
        <v>60</v>
      </c>
      <c r="E266" s="3" t="s">
        <v>102</v>
      </c>
      <c r="F266" s="3" t="s">
        <v>107</v>
      </c>
      <c r="G266" s="3" t="s">
        <v>28</v>
      </c>
      <c r="H266" s="3" t="s">
        <v>29</v>
      </c>
      <c r="I266" s="4">
        <v>40724</v>
      </c>
      <c r="J266" s="3">
        <v>15</v>
      </c>
      <c r="K266" s="5">
        <v>52489.03</v>
      </c>
      <c r="L266" s="5">
        <v>2901.09</v>
      </c>
      <c r="M266" s="3" t="s">
        <v>32</v>
      </c>
      <c r="N266" s="3">
        <v>3</v>
      </c>
      <c r="O266" s="3">
        <v>1</v>
      </c>
      <c r="P266" s="3">
        <v>1</v>
      </c>
      <c r="Q266" s="3">
        <v>37</v>
      </c>
      <c r="R266" s="3" t="s">
        <v>32</v>
      </c>
      <c r="S266" s="3">
        <v>21</v>
      </c>
      <c r="T266" s="3" t="s">
        <v>38</v>
      </c>
      <c r="U266" s="3">
        <v>7</v>
      </c>
      <c r="V266" s="3" t="s">
        <v>32</v>
      </c>
      <c r="W266" s="4"/>
      <c r="X266" s="4" t="str">
        <f t="shared" si="4"/>
        <v>Active</v>
      </c>
      <c r="Y266" s="3" t="s">
        <v>58</v>
      </c>
    </row>
    <row r="267" spans="1:25">
      <c r="A267" s="2">
        <v>10266</v>
      </c>
      <c r="B267" s="3" t="s">
        <v>326</v>
      </c>
      <c r="C267" s="3" t="s">
        <v>25</v>
      </c>
      <c r="D267" s="3">
        <v>59</v>
      </c>
      <c r="E267" s="3" t="s">
        <v>60</v>
      </c>
      <c r="F267" s="3" t="s">
        <v>61</v>
      </c>
      <c r="G267" s="3" t="s">
        <v>28</v>
      </c>
      <c r="H267" s="3" t="s">
        <v>45</v>
      </c>
      <c r="I267" s="4">
        <v>43930</v>
      </c>
      <c r="J267" s="3">
        <v>6</v>
      </c>
      <c r="K267" s="5">
        <v>87051.57</v>
      </c>
      <c r="L267" s="5">
        <v>9803.83</v>
      </c>
      <c r="M267" s="3" t="s">
        <v>30</v>
      </c>
      <c r="N267" s="3">
        <v>5</v>
      </c>
      <c r="O267" s="3">
        <v>3</v>
      </c>
      <c r="P267" s="3">
        <v>3</v>
      </c>
      <c r="Q267" s="3">
        <v>62</v>
      </c>
      <c r="R267" s="3" t="s">
        <v>32</v>
      </c>
      <c r="S267" s="3">
        <v>6</v>
      </c>
      <c r="T267" s="3" t="s">
        <v>52</v>
      </c>
      <c r="U267" s="3">
        <v>11</v>
      </c>
      <c r="V267" s="3" t="s">
        <v>32</v>
      </c>
      <c r="W267" s="4"/>
      <c r="X267" s="4" t="str">
        <f t="shared" si="4"/>
        <v>Active</v>
      </c>
      <c r="Y267" s="3" t="s">
        <v>46</v>
      </c>
    </row>
    <row r="268" spans="1:25">
      <c r="A268" s="2">
        <v>10267</v>
      </c>
      <c r="B268" s="3" t="s">
        <v>327</v>
      </c>
      <c r="C268" s="3" t="s">
        <v>41</v>
      </c>
      <c r="D268" s="3">
        <v>38</v>
      </c>
      <c r="E268" s="3" t="s">
        <v>35</v>
      </c>
      <c r="F268" s="3" t="s">
        <v>36</v>
      </c>
      <c r="G268" s="3" t="s">
        <v>37</v>
      </c>
      <c r="H268" s="3" t="s">
        <v>57</v>
      </c>
      <c r="I268" s="4">
        <v>40420</v>
      </c>
      <c r="J268" s="3">
        <v>16</v>
      </c>
      <c r="K268" s="5">
        <v>82206.83</v>
      </c>
      <c r="L268" s="5">
        <v>11787.24</v>
      </c>
      <c r="M268" s="3" t="s">
        <v>30</v>
      </c>
      <c r="N268" s="3">
        <v>3</v>
      </c>
      <c r="O268" s="3">
        <v>4</v>
      </c>
      <c r="P268" s="3">
        <v>2</v>
      </c>
      <c r="Q268" s="3">
        <v>11</v>
      </c>
      <c r="R268" s="3" t="s">
        <v>32</v>
      </c>
      <c r="S268" s="3">
        <v>17</v>
      </c>
      <c r="T268" s="3" t="s">
        <v>31</v>
      </c>
      <c r="U268" s="3">
        <v>19</v>
      </c>
      <c r="V268" s="3" t="s">
        <v>32</v>
      </c>
      <c r="W268" s="4"/>
      <c r="X268" s="4" t="str">
        <f t="shared" si="4"/>
        <v>Active</v>
      </c>
      <c r="Y268" s="3" t="s">
        <v>132</v>
      </c>
    </row>
    <row r="269" spans="1:25">
      <c r="A269" s="2">
        <v>10268</v>
      </c>
      <c r="B269" s="3" t="s">
        <v>328</v>
      </c>
      <c r="C269" s="3" t="s">
        <v>25</v>
      </c>
      <c r="D269" s="3">
        <v>57</v>
      </c>
      <c r="E269" s="3" t="s">
        <v>26</v>
      </c>
      <c r="F269" s="3" t="s">
        <v>113</v>
      </c>
      <c r="G269" s="3" t="s">
        <v>78</v>
      </c>
      <c r="H269" s="3" t="s">
        <v>45</v>
      </c>
      <c r="I269" s="4">
        <v>42876</v>
      </c>
      <c r="J269" s="3">
        <v>9</v>
      </c>
      <c r="K269" s="5">
        <v>74196</v>
      </c>
      <c r="L269" s="5">
        <v>2754.93</v>
      </c>
      <c r="M269" s="3" t="s">
        <v>32</v>
      </c>
      <c r="N269" s="3">
        <v>5</v>
      </c>
      <c r="O269" s="3">
        <v>5</v>
      </c>
      <c r="P269" s="3">
        <v>2</v>
      </c>
      <c r="Q269" s="3">
        <v>17</v>
      </c>
      <c r="R269" s="3" t="s">
        <v>32</v>
      </c>
      <c r="S269" s="3">
        <v>23</v>
      </c>
      <c r="T269" s="3" t="s">
        <v>31</v>
      </c>
      <c r="U269" s="3">
        <v>4</v>
      </c>
      <c r="V269" s="3" t="s">
        <v>32</v>
      </c>
      <c r="W269" s="4"/>
      <c r="X269" s="4" t="str">
        <f t="shared" si="4"/>
        <v>Active</v>
      </c>
      <c r="Y269" s="3" t="s">
        <v>75</v>
      </c>
    </row>
    <row r="270" spans="1:25">
      <c r="A270" s="2">
        <v>10269</v>
      </c>
      <c r="B270" s="3" t="s">
        <v>329</v>
      </c>
      <c r="C270" s="3" t="s">
        <v>25</v>
      </c>
      <c r="D270" s="3">
        <v>31</v>
      </c>
      <c r="E270" s="3" t="s">
        <v>102</v>
      </c>
      <c r="F270" s="3" t="s">
        <v>107</v>
      </c>
      <c r="G270" s="3" t="s">
        <v>37</v>
      </c>
      <c r="H270" s="3" t="s">
        <v>45</v>
      </c>
      <c r="I270" s="4">
        <v>41148</v>
      </c>
      <c r="J270" s="3">
        <v>14</v>
      </c>
      <c r="K270" s="5">
        <v>43286.080000000002</v>
      </c>
      <c r="L270" s="5">
        <v>5589.87</v>
      </c>
      <c r="M270" s="3" t="s">
        <v>30</v>
      </c>
      <c r="N270" s="3">
        <v>1</v>
      </c>
      <c r="O270" s="3">
        <v>3</v>
      </c>
      <c r="P270" s="3">
        <v>4</v>
      </c>
      <c r="Q270" s="3">
        <v>52</v>
      </c>
      <c r="R270" s="3" t="s">
        <v>32</v>
      </c>
      <c r="S270" s="3">
        <v>24</v>
      </c>
      <c r="T270" s="3" t="s">
        <v>31</v>
      </c>
      <c r="U270" s="3">
        <v>8</v>
      </c>
      <c r="V270" s="3" t="s">
        <v>30</v>
      </c>
      <c r="W270" s="4">
        <v>44946</v>
      </c>
      <c r="X270" s="4" t="str">
        <f t="shared" si="4"/>
        <v>Exited</v>
      </c>
      <c r="Y270" s="3" t="s">
        <v>65</v>
      </c>
    </row>
    <row r="271" spans="1:25">
      <c r="A271" s="2">
        <v>10270</v>
      </c>
      <c r="B271" s="3" t="s">
        <v>330</v>
      </c>
      <c r="C271" s="3" t="s">
        <v>25</v>
      </c>
      <c r="D271" s="3">
        <v>60</v>
      </c>
      <c r="E271" s="3" t="s">
        <v>60</v>
      </c>
      <c r="F271" s="3" t="s">
        <v>122</v>
      </c>
      <c r="G271" s="3" t="s">
        <v>37</v>
      </c>
      <c r="H271" s="3" t="s">
        <v>45</v>
      </c>
      <c r="I271" s="4">
        <v>42070</v>
      </c>
      <c r="J271" s="3">
        <v>11</v>
      </c>
      <c r="K271" s="5">
        <v>89727.05</v>
      </c>
      <c r="L271" s="5">
        <v>4488.0200000000004</v>
      </c>
      <c r="M271" s="3" t="s">
        <v>30</v>
      </c>
      <c r="N271" s="3">
        <v>1</v>
      </c>
      <c r="O271" s="3">
        <v>4</v>
      </c>
      <c r="P271" s="3">
        <v>2</v>
      </c>
      <c r="Q271" s="3">
        <v>64</v>
      </c>
      <c r="R271" s="3" t="s">
        <v>32</v>
      </c>
      <c r="S271" s="3">
        <v>16</v>
      </c>
      <c r="T271" s="3" t="s">
        <v>31</v>
      </c>
      <c r="U271" s="3">
        <v>20</v>
      </c>
      <c r="V271" s="3" t="s">
        <v>32</v>
      </c>
      <c r="W271" s="4"/>
      <c r="X271" s="4" t="str">
        <f t="shared" si="4"/>
        <v>Active</v>
      </c>
      <c r="Y271" s="3" t="s">
        <v>55</v>
      </c>
    </row>
    <row r="272" spans="1:25">
      <c r="A272" s="2">
        <v>10271</v>
      </c>
      <c r="B272" s="3" t="s">
        <v>331</v>
      </c>
      <c r="C272" s="3" t="s">
        <v>41</v>
      </c>
      <c r="D272" s="3">
        <v>29</v>
      </c>
      <c r="E272" s="3" t="s">
        <v>26</v>
      </c>
      <c r="F272" s="3" t="s">
        <v>27</v>
      </c>
      <c r="G272" s="3" t="s">
        <v>28</v>
      </c>
      <c r="H272" s="3" t="s">
        <v>57</v>
      </c>
      <c r="I272" s="4">
        <v>40301</v>
      </c>
      <c r="J272" s="3">
        <v>16</v>
      </c>
      <c r="K272" s="5">
        <v>105153.28</v>
      </c>
      <c r="L272" s="5">
        <v>15092.2</v>
      </c>
      <c r="M272" s="3" t="s">
        <v>30</v>
      </c>
      <c r="N272" s="3">
        <v>2</v>
      </c>
      <c r="O272" s="3">
        <v>2</v>
      </c>
      <c r="P272" s="3">
        <v>1</v>
      </c>
      <c r="Q272" s="3">
        <v>22</v>
      </c>
      <c r="R272" s="3" t="s">
        <v>32</v>
      </c>
      <c r="S272" s="3">
        <v>15</v>
      </c>
      <c r="T272" s="3" t="s">
        <v>31</v>
      </c>
      <c r="U272" s="3">
        <v>15</v>
      </c>
      <c r="V272" s="3" t="s">
        <v>32</v>
      </c>
      <c r="W272" s="4"/>
      <c r="X272" s="4" t="str">
        <f t="shared" si="4"/>
        <v>Active</v>
      </c>
      <c r="Y272" s="3" t="s">
        <v>55</v>
      </c>
    </row>
    <row r="273" spans="1:25">
      <c r="A273" s="2">
        <v>10272</v>
      </c>
      <c r="B273" s="3" t="s">
        <v>332</v>
      </c>
      <c r="C273" s="3" t="s">
        <v>41</v>
      </c>
      <c r="D273" s="3">
        <v>46</v>
      </c>
      <c r="E273" s="3" t="s">
        <v>35</v>
      </c>
      <c r="F273" s="3" t="s">
        <v>36</v>
      </c>
      <c r="G273" s="3" t="s">
        <v>37</v>
      </c>
      <c r="H273" s="3" t="s">
        <v>57</v>
      </c>
      <c r="I273" s="4">
        <v>42742</v>
      </c>
      <c r="J273" s="3">
        <v>9</v>
      </c>
      <c r="K273" s="5">
        <v>54707.54</v>
      </c>
      <c r="L273" s="5">
        <v>7773.29</v>
      </c>
      <c r="M273" s="3" t="s">
        <v>32</v>
      </c>
      <c r="N273" s="3">
        <v>5</v>
      </c>
      <c r="O273" s="3">
        <v>5</v>
      </c>
      <c r="P273" s="3">
        <v>1</v>
      </c>
      <c r="Q273" s="3">
        <v>66</v>
      </c>
      <c r="R273" s="3" t="s">
        <v>30</v>
      </c>
      <c r="S273" s="3">
        <v>15</v>
      </c>
      <c r="T273" s="3" t="s">
        <v>52</v>
      </c>
      <c r="U273" s="3">
        <v>7</v>
      </c>
      <c r="V273" s="3" t="s">
        <v>32</v>
      </c>
      <c r="W273" s="4"/>
      <c r="X273" s="4" t="str">
        <f t="shared" si="4"/>
        <v>Active</v>
      </c>
      <c r="Y273" s="3" t="s">
        <v>33</v>
      </c>
    </row>
    <row r="274" spans="1:25">
      <c r="A274" s="2">
        <v>10273</v>
      </c>
      <c r="B274" s="3" t="s">
        <v>278</v>
      </c>
      <c r="C274" s="3" t="s">
        <v>25</v>
      </c>
      <c r="D274" s="3">
        <v>54</v>
      </c>
      <c r="E274" s="3" t="s">
        <v>35</v>
      </c>
      <c r="F274" s="3" t="s">
        <v>36</v>
      </c>
      <c r="G274" s="3" t="s">
        <v>28</v>
      </c>
      <c r="H274" s="3" t="s">
        <v>57</v>
      </c>
      <c r="I274" s="4">
        <v>43439</v>
      </c>
      <c r="J274" s="3">
        <v>8</v>
      </c>
      <c r="K274" s="5">
        <v>79219.88</v>
      </c>
      <c r="L274" s="5">
        <v>9552.18</v>
      </c>
      <c r="M274" s="3" t="s">
        <v>30</v>
      </c>
      <c r="N274" s="3">
        <v>2</v>
      </c>
      <c r="O274" s="3">
        <v>4</v>
      </c>
      <c r="P274" s="3">
        <v>3</v>
      </c>
      <c r="Q274" s="3">
        <v>78</v>
      </c>
      <c r="R274" s="3" t="s">
        <v>32</v>
      </c>
      <c r="S274" s="3">
        <v>23</v>
      </c>
      <c r="T274" s="3" t="s">
        <v>31</v>
      </c>
      <c r="U274" s="3">
        <v>4</v>
      </c>
      <c r="V274" s="3" t="s">
        <v>32</v>
      </c>
      <c r="W274" s="4"/>
      <c r="X274" s="4" t="str">
        <f t="shared" si="4"/>
        <v>Active</v>
      </c>
      <c r="Y274" s="3" t="s">
        <v>132</v>
      </c>
    </row>
    <row r="275" spans="1:25">
      <c r="A275" s="2">
        <v>10274</v>
      </c>
      <c r="B275" s="3" t="s">
        <v>333</v>
      </c>
      <c r="C275" s="3" t="s">
        <v>41</v>
      </c>
      <c r="D275" s="3">
        <v>53</v>
      </c>
      <c r="E275" s="3" t="s">
        <v>42</v>
      </c>
      <c r="F275" s="3" t="s">
        <v>127</v>
      </c>
      <c r="G275" s="3" t="s">
        <v>37</v>
      </c>
      <c r="H275" s="3" t="s">
        <v>45</v>
      </c>
      <c r="I275" s="4">
        <v>44655</v>
      </c>
      <c r="J275" s="3">
        <v>4</v>
      </c>
      <c r="K275" s="5">
        <v>42441.87</v>
      </c>
      <c r="L275" s="5">
        <v>3130.63</v>
      </c>
      <c r="M275" s="3" t="s">
        <v>32</v>
      </c>
      <c r="N275" s="3">
        <v>2</v>
      </c>
      <c r="O275" s="3">
        <v>4</v>
      </c>
      <c r="P275" s="3">
        <v>5</v>
      </c>
      <c r="Q275" s="3">
        <v>25</v>
      </c>
      <c r="R275" s="3" t="s">
        <v>32</v>
      </c>
      <c r="S275" s="3">
        <v>3</v>
      </c>
      <c r="T275" s="3" t="s">
        <v>38</v>
      </c>
      <c r="U275" s="3">
        <v>10</v>
      </c>
      <c r="V275" s="3" t="s">
        <v>32</v>
      </c>
      <c r="W275" s="4"/>
      <c r="X275" s="4" t="str">
        <f t="shared" si="4"/>
        <v>Active</v>
      </c>
      <c r="Y275" s="3" t="s">
        <v>75</v>
      </c>
    </row>
    <row r="276" spans="1:25">
      <c r="A276" s="2">
        <v>10275</v>
      </c>
      <c r="B276" s="3" t="s">
        <v>307</v>
      </c>
      <c r="C276" s="3" t="s">
        <v>25</v>
      </c>
      <c r="D276" s="3">
        <v>28</v>
      </c>
      <c r="E276" s="3" t="s">
        <v>48</v>
      </c>
      <c r="F276" s="3" t="s">
        <v>200</v>
      </c>
      <c r="G276" s="3" t="s">
        <v>37</v>
      </c>
      <c r="H276" s="3" t="s">
        <v>29</v>
      </c>
      <c r="I276" s="4">
        <v>44470</v>
      </c>
      <c r="J276" s="3">
        <v>5</v>
      </c>
      <c r="K276" s="5">
        <v>73900.350000000006</v>
      </c>
      <c r="L276" s="5">
        <v>8461.1200000000008</v>
      </c>
      <c r="M276" s="3" t="s">
        <v>32</v>
      </c>
      <c r="N276" s="3">
        <v>5</v>
      </c>
      <c r="O276" s="3">
        <v>2</v>
      </c>
      <c r="P276" s="3">
        <v>4</v>
      </c>
      <c r="Q276" s="3">
        <v>70</v>
      </c>
      <c r="R276" s="3" t="s">
        <v>32</v>
      </c>
      <c r="S276" s="3">
        <v>25</v>
      </c>
      <c r="T276" s="3" t="s">
        <v>52</v>
      </c>
      <c r="U276" s="3">
        <v>10</v>
      </c>
      <c r="V276" s="3" t="s">
        <v>32</v>
      </c>
      <c r="W276" s="4"/>
      <c r="X276" s="4" t="str">
        <f t="shared" si="4"/>
        <v>Active</v>
      </c>
      <c r="Y276" s="3" t="s">
        <v>132</v>
      </c>
    </row>
    <row r="277" spans="1:25">
      <c r="A277" s="2">
        <v>10276</v>
      </c>
      <c r="B277" s="3" t="s">
        <v>334</v>
      </c>
      <c r="C277" s="3" t="s">
        <v>25</v>
      </c>
      <c r="D277" s="3">
        <v>30</v>
      </c>
      <c r="E277" s="3" t="s">
        <v>26</v>
      </c>
      <c r="F277" s="3" t="s">
        <v>105</v>
      </c>
      <c r="G277" s="3" t="s">
        <v>28</v>
      </c>
      <c r="H277" s="3" t="s">
        <v>57</v>
      </c>
      <c r="I277" s="4">
        <v>43834</v>
      </c>
      <c r="J277" s="3">
        <v>6</v>
      </c>
      <c r="K277" s="5">
        <v>63770.73</v>
      </c>
      <c r="L277" s="5">
        <v>2773.42</v>
      </c>
      <c r="M277" s="3" t="s">
        <v>32</v>
      </c>
      <c r="N277" s="3">
        <v>2</v>
      </c>
      <c r="O277" s="3">
        <v>1</v>
      </c>
      <c r="P277" s="3">
        <v>5</v>
      </c>
      <c r="Q277" s="3">
        <v>32</v>
      </c>
      <c r="R277" s="3" t="s">
        <v>30</v>
      </c>
      <c r="S277" s="3">
        <v>16</v>
      </c>
      <c r="T277" s="3" t="s">
        <v>38</v>
      </c>
      <c r="U277" s="3">
        <v>17</v>
      </c>
      <c r="V277" s="3" t="s">
        <v>32</v>
      </c>
      <c r="W277" s="4"/>
      <c r="X277" s="4" t="str">
        <f t="shared" si="4"/>
        <v>Active</v>
      </c>
      <c r="Y277" s="3" t="s">
        <v>81</v>
      </c>
    </row>
    <row r="278" spans="1:25">
      <c r="A278" s="2">
        <v>10277</v>
      </c>
      <c r="B278" s="3" t="s">
        <v>335</v>
      </c>
      <c r="C278" s="3" t="s">
        <v>41</v>
      </c>
      <c r="D278" s="3">
        <v>58</v>
      </c>
      <c r="E278" s="3" t="s">
        <v>48</v>
      </c>
      <c r="F278" s="3" t="s">
        <v>200</v>
      </c>
      <c r="G278" s="3" t="s">
        <v>28</v>
      </c>
      <c r="H278" s="3" t="s">
        <v>57</v>
      </c>
      <c r="I278" s="4">
        <v>40829</v>
      </c>
      <c r="J278" s="3">
        <v>15</v>
      </c>
      <c r="K278" s="5">
        <v>68066.91</v>
      </c>
      <c r="L278" s="5">
        <v>1419.5</v>
      </c>
      <c r="M278" s="3" t="s">
        <v>32</v>
      </c>
      <c r="N278" s="3">
        <v>3</v>
      </c>
      <c r="O278" s="3">
        <v>5</v>
      </c>
      <c r="P278" s="3">
        <v>5</v>
      </c>
      <c r="Q278" s="3">
        <v>26</v>
      </c>
      <c r="R278" s="3" t="s">
        <v>30</v>
      </c>
      <c r="S278" s="3">
        <v>5</v>
      </c>
      <c r="T278" s="3" t="s">
        <v>52</v>
      </c>
      <c r="U278" s="3">
        <v>20</v>
      </c>
      <c r="V278" s="3" t="s">
        <v>32</v>
      </c>
      <c r="W278" s="4"/>
      <c r="X278" s="4" t="str">
        <f t="shared" si="4"/>
        <v>Active</v>
      </c>
      <c r="Y278" s="3" t="s">
        <v>87</v>
      </c>
    </row>
    <row r="279" spans="1:25">
      <c r="A279" s="2">
        <v>10278</v>
      </c>
      <c r="B279" s="3" t="s">
        <v>336</v>
      </c>
      <c r="C279" s="3" t="s">
        <v>25</v>
      </c>
      <c r="D279" s="3">
        <v>59</v>
      </c>
      <c r="E279" s="3" t="s">
        <v>102</v>
      </c>
      <c r="F279" s="3" t="s">
        <v>116</v>
      </c>
      <c r="G279" s="3" t="s">
        <v>78</v>
      </c>
      <c r="H279" s="3" t="s">
        <v>29</v>
      </c>
      <c r="I279" s="4">
        <v>41071</v>
      </c>
      <c r="J279" s="3">
        <v>14</v>
      </c>
      <c r="K279" s="5">
        <v>53763.06</v>
      </c>
      <c r="L279" s="5">
        <v>2321.0700000000002</v>
      </c>
      <c r="M279" s="3" t="s">
        <v>32</v>
      </c>
      <c r="N279" s="3">
        <v>5</v>
      </c>
      <c r="O279" s="3">
        <v>5</v>
      </c>
      <c r="P279" s="3">
        <v>5</v>
      </c>
      <c r="Q279" s="3">
        <v>71</v>
      </c>
      <c r="R279" s="3" t="s">
        <v>30</v>
      </c>
      <c r="S279" s="3">
        <v>15</v>
      </c>
      <c r="T279" s="3" t="s">
        <v>31</v>
      </c>
      <c r="U279" s="3">
        <v>18</v>
      </c>
      <c r="V279" s="3" t="s">
        <v>32</v>
      </c>
      <c r="W279" s="4"/>
      <c r="X279" s="4" t="str">
        <f t="shared" si="4"/>
        <v>Active</v>
      </c>
      <c r="Y279" s="3" t="s">
        <v>39</v>
      </c>
    </row>
    <row r="280" spans="1:25">
      <c r="A280" s="2">
        <v>10279</v>
      </c>
      <c r="B280" s="3" t="s">
        <v>209</v>
      </c>
      <c r="C280" s="3" t="s">
        <v>25</v>
      </c>
      <c r="D280" s="3">
        <v>44</v>
      </c>
      <c r="E280" s="3" t="s">
        <v>73</v>
      </c>
      <c r="F280" s="3" t="s">
        <v>95</v>
      </c>
      <c r="G280" s="3" t="s">
        <v>37</v>
      </c>
      <c r="H280" s="3" t="s">
        <v>45</v>
      </c>
      <c r="I280" s="4">
        <v>40710</v>
      </c>
      <c r="J280" s="3">
        <v>15</v>
      </c>
      <c r="K280" s="5">
        <v>57569.96</v>
      </c>
      <c r="L280" s="5">
        <v>2158.35</v>
      </c>
      <c r="M280" s="3" t="s">
        <v>32</v>
      </c>
      <c r="N280" s="3">
        <v>3</v>
      </c>
      <c r="O280" s="3">
        <v>3</v>
      </c>
      <c r="P280" s="3">
        <v>5</v>
      </c>
      <c r="Q280" s="3">
        <v>52</v>
      </c>
      <c r="R280" s="3" t="s">
        <v>32</v>
      </c>
      <c r="S280" s="3">
        <v>23</v>
      </c>
      <c r="T280" s="3" t="s">
        <v>52</v>
      </c>
      <c r="U280" s="3">
        <v>19</v>
      </c>
      <c r="V280" s="3" t="s">
        <v>30</v>
      </c>
      <c r="W280" s="4">
        <v>45732</v>
      </c>
      <c r="X280" s="4" t="str">
        <f t="shared" si="4"/>
        <v>Exited</v>
      </c>
      <c r="Y280" s="3" t="s">
        <v>53</v>
      </c>
    </row>
    <row r="281" spans="1:25">
      <c r="A281" s="2">
        <v>10280</v>
      </c>
      <c r="B281" s="3" t="s">
        <v>337</v>
      </c>
      <c r="C281" s="3" t="s">
        <v>25</v>
      </c>
      <c r="D281" s="3">
        <v>59</v>
      </c>
      <c r="E281" s="3" t="s">
        <v>35</v>
      </c>
      <c r="F281" s="3" t="s">
        <v>51</v>
      </c>
      <c r="G281" s="3" t="s">
        <v>28</v>
      </c>
      <c r="H281" s="3" t="s">
        <v>57</v>
      </c>
      <c r="I281" s="4">
        <v>42306</v>
      </c>
      <c r="J281" s="3">
        <v>11</v>
      </c>
      <c r="K281" s="5">
        <v>61269.56</v>
      </c>
      <c r="L281" s="5">
        <v>9150.7999999999993</v>
      </c>
      <c r="M281" s="3" t="s">
        <v>32</v>
      </c>
      <c r="N281" s="3">
        <v>2</v>
      </c>
      <c r="O281" s="3">
        <v>5</v>
      </c>
      <c r="P281" s="3">
        <v>5</v>
      </c>
      <c r="Q281" s="3">
        <v>63</v>
      </c>
      <c r="R281" s="3" t="s">
        <v>32</v>
      </c>
      <c r="S281" s="3">
        <v>21</v>
      </c>
      <c r="T281" s="3" t="s">
        <v>38</v>
      </c>
      <c r="U281" s="3">
        <v>15</v>
      </c>
      <c r="V281" s="3" t="s">
        <v>32</v>
      </c>
      <c r="W281" s="4"/>
      <c r="X281" s="4" t="str">
        <f t="shared" si="4"/>
        <v>Active</v>
      </c>
      <c r="Y281" s="3" t="s">
        <v>75</v>
      </c>
    </row>
    <row r="282" spans="1:25">
      <c r="A282" s="2">
        <v>10281</v>
      </c>
      <c r="B282" s="3" t="s">
        <v>338</v>
      </c>
      <c r="C282" s="3" t="s">
        <v>25</v>
      </c>
      <c r="D282" s="3">
        <v>21</v>
      </c>
      <c r="E282" s="3" t="s">
        <v>42</v>
      </c>
      <c r="F282" s="3" t="s">
        <v>176</v>
      </c>
      <c r="G282" s="3" t="s">
        <v>28</v>
      </c>
      <c r="H282" s="3" t="s">
        <v>29</v>
      </c>
      <c r="I282" s="4">
        <v>41877</v>
      </c>
      <c r="J282" s="3">
        <v>12</v>
      </c>
      <c r="K282" s="5">
        <v>78976.039999999994</v>
      </c>
      <c r="L282" s="5">
        <v>11836.01</v>
      </c>
      <c r="M282" s="3" t="s">
        <v>32</v>
      </c>
      <c r="N282" s="3">
        <v>3</v>
      </c>
      <c r="O282" s="3">
        <v>3</v>
      </c>
      <c r="P282" s="3">
        <v>5</v>
      </c>
      <c r="Q282" s="3">
        <v>27</v>
      </c>
      <c r="R282" s="3" t="s">
        <v>30</v>
      </c>
      <c r="S282" s="3">
        <v>7</v>
      </c>
      <c r="T282" s="3" t="s">
        <v>31</v>
      </c>
      <c r="U282" s="3">
        <v>9</v>
      </c>
      <c r="V282" s="3" t="s">
        <v>32</v>
      </c>
      <c r="W282" s="4"/>
      <c r="X282" s="4" t="str">
        <f t="shared" si="4"/>
        <v>Active</v>
      </c>
      <c r="Y282" s="3" t="s">
        <v>65</v>
      </c>
    </row>
    <row r="283" spans="1:25">
      <c r="A283" s="2">
        <v>10282</v>
      </c>
      <c r="B283" s="3" t="s">
        <v>339</v>
      </c>
      <c r="C283" s="3" t="s">
        <v>41</v>
      </c>
      <c r="D283" s="3">
        <v>56</v>
      </c>
      <c r="E283" s="3" t="s">
        <v>102</v>
      </c>
      <c r="F283" s="3" t="s">
        <v>107</v>
      </c>
      <c r="G283" s="3" t="s">
        <v>28</v>
      </c>
      <c r="H283" s="3" t="s">
        <v>57</v>
      </c>
      <c r="I283" s="4">
        <v>42975</v>
      </c>
      <c r="J283" s="3">
        <v>9</v>
      </c>
      <c r="K283" s="5">
        <v>52822.22</v>
      </c>
      <c r="L283" s="5">
        <v>4963.17</v>
      </c>
      <c r="M283" s="3" t="s">
        <v>32</v>
      </c>
      <c r="N283" s="3">
        <v>2</v>
      </c>
      <c r="O283" s="3">
        <v>2</v>
      </c>
      <c r="P283" s="3">
        <v>3</v>
      </c>
      <c r="Q283" s="3">
        <v>43</v>
      </c>
      <c r="R283" s="3" t="s">
        <v>32</v>
      </c>
      <c r="S283" s="3">
        <v>16</v>
      </c>
      <c r="T283" s="3" t="s">
        <v>38</v>
      </c>
      <c r="U283" s="3">
        <v>1</v>
      </c>
      <c r="V283" s="3" t="s">
        <v>32</v>
      </c>
      <c r="W283" s="4"/>
      <c r="X283" s="4" t="str">
        <f t="shared" si="4"/>
        <v>Active</v>
      </c>
      <c r="Y283" s="3" t="s">
        <v>71</v>
      </c>
    </row>
    <row r="284" spans="1:25">
      <c r="A284" s="2">
        <v>10283</v>
      </c>
      <c r="B284" s="3" t="s">
        <v>340</v>
      </c>
      <c r="C284" s="3" t="s">
        <v>25</v>
      </c>
      <c r="D284" s="3">
        <v>55</v>
      </c>
      <c r="E284" s="3" t="s">
        <v>102</v>
      </c>
      <c r="F284" s="3" t="s">
        <v>103</v>
      </c>
      <c r="G284" s="3" t="s">
        <v>37</v>
      </c>
      <c r="H284" s="3" t="s">
        <v>57</v>
      </c>
      <c r="I284" s="4">
        <v>40637</v>
      </c>
      <c r="J284" s="3">
        <v>15</v>
      </c>
      <c r="K284" s="5">
        <v>72579.759999999995</v>
      </c>
      <c r="L284" s="5">
        <v>4276.01</v>
      </c>
      <c r="M284" s="3" t="s">
        <v>32</v>
      </c>
      <c r="N284" s="3">
        <v>3</v>
      </c>
      <c r="O284" s="3">
        <v>5</v>
      </c>
      <c r="P284" s="3">
        <v>5</v>
      </c>
      <c r="Q284" s="3">
        <v>2</v>
      </c>
      <c r="R284" s="3" t="s">
        <v>30</v>
      </c>
      <c r="S284" s="3">
        <v>22</v>
      </c>
      <c r="T284" s="3" t="s">
        <v>38</v>
      </c>
      <c r="U284" s="3">
        <v>11</v>
      </c>
      <c r="V284" s="3" t="s">
        <v>30</v>
      </c>
      <c r="W284" s="4">
        <v>44867</v>
      </c>
      <c r="X284" s="4" t="str">
        <f t="shared" si="4"/>
        <v>Exited</v>
      </c>
      <c r="Y284" s="3" t="s">
        <v>84</v>
      </c>
    </row>
    <row r="285" spans="1:25">
      <c r="A285" s="2">
        <v>10284</v>
      </c>
      <c r="B285" s="3" t="s">
        <v>341</v>
      </c>
      <c r="C285" s="3" t="s">
        <v>25</v>
      </c>
      <c r="D285" s="3">
        <v>55</v>
      </c>
      <c r="E285" s="3" t="s">
        <v>35</v>
      </c>
      <c r="F285" s="3" t="s">
        <v>80</v>
      </c>
      <c r="G285" s="3" t="s">
        <v>37</v>
      </c>
      <c r="H285" s="3" t="s">
        <v>57</v>
      </c>
      <c r="I285" s="4">
        <v>41714</v>
      </c>
      <c r="J285" s="3">
        <v>12</v>
      </c>
      <c r="K285" s="5">
        <v>64759.59</v>
      </c>
      <c r="L285" s="5">
        <v>8573.99</v>
      </c>
      <c r="M285" s="3" t="s">
        <v>32</v>
      </c>
      <c r="N285" s="3">
        <v>3</v>
      </c>
      <c r="O285" s="3">
        <v>1</v>
      </c>
      <c r="P285" s="3">
        <v>3</v>
      </c>
      <c r="Q285" s="3">
        <v>52</v>
      </c>
      <c r="R285" s="3" t="s">
        <v>30</v>
      </c>
      <c r="S285" s="3">
        <v>29</v>
      </c>
      <c r="T285" s="3" t="s">
        <v>52</v>
      </c>
      <c r="U285" s="3">
        <v>11</v>
      </c>
      <c r="V285" s="3" t="s">
        <v>32</v>
      </c>
      <c r="W285" s="4"/>
      <c r="X285" s="4" t="str">
        <f t="shared" si="4"/>
        <v>Active</v>
      </c>
      <c r="Y285" s="3" t="s">
        <v>84</v>
      </c>
    </row>
    <row r="286" spans="1:25">
      <c r="A286" s="2">
        <v>10285</v>
      </c>
      <c r="B286" s="3" t="s">
        <v>342</v>
      </c>
      <c r="C286" s="3" t="s">
        <v>25</v>
      </c>
      <c r="D286" s="3">
        <v>32</v>
      </c>
      <c r="E286" s="3" t="s">
        <v>42</v>
      </c>
      <c r="F286" s="3" t="s">
        <v>43</v>
      </c>
      <c r="G286" s="3" t="s">
        <v>37</v>
      </c>
      <c r="H286" s="3" t="s">
        <v>29</v>
      </c>
      <c r="I286" s="4">
        <v>40937</v>
      </c>
      <c r="J286" s="3">
        <v>14</v>
      </c>
      <c r="K286" s="5">
        <v>59407.58</v>
      </c>
      <c r="L286" s="5">
        <v>1380.72</v>
      </c>
      <c r="M286" s="3" t="s">
        <v>32</v>
      </c>
      <c r="N286" s="3">
        <v>5</v>
      </c>
      <c r="O286" s="3">
        <v>2</v>
      </c>
      <c r="P286" s="3">
        <v>2</v>
      </c>
      <c r="Q286" s="3">
        <v>43</v>
      </c>
      <c r="R286" s="3" t="s">
        <v>32</v>
      </c>
      <c r="S286" s="3">
        <v>24</v>
      </c>
      <c r="T286" s="3" t="s">
        <v>31</v>
      </c>
      <c r="U286" s="3">
        <v>9</v>
      </c>
      <c r="V286" s="3" t="s">
        <v>32</v>
      </c>
      <c r="W286" s="4"/>
      <c r="X286" s="4" t="str">
        <f t="shared" si="4"/>
        <v>Active</v>
      </c>
      <c r="Y286" s="3" t="s">
        <v>87</v>
      </c>
    </row>
    <row r="287" spans="1:25">
      <c r="A287" s="2">
        <v>10286</v>
      </c>
      <c r="B287" s="3" t="s">
        <v>343</v>
      </c>
      <c r="C287" s="3" t="s">
        <v>25</v>
      </c>
      <c r="D287" s="3">
        <v>29</v>
      </c>
      <c r="E287" s="3" t="s">
        <v>26</v>
      </c>
      <c r="F287" s="3" t="s">
        <v>105</v>
      </c>
      <c r="G287" s="3" t="s">
        <v>28</v>
      </c>
      <c r="H287" s="3" t="s">
        <v>45</v>
      </c>
      <c r="I287" s="4">
        <v>44458</v>
      </c>
      <c r="J287" s="3">
        <v>5</v>
      </c>
      <c r="K287" s="5">
        <v>52529.34</v>
      </c>
      <c r="L287" s="5">
        <v>3174.22</v>
      </c>
      <c r="M287" s="3" t="s">
        <v>30</v>
      </c>
      <c r="N287" s="3">
        <v>5</v>
      </c>
      <c r="O287" s="3">
        <v>1</v>
      </c>
      <c r="P287" s="3">
        <v>3</v>
      </c>
      <c r="Q287" s="3">
        <v>59</v>
      </c>
      <c r="R287" s="3" t="s">
        <v>32</v>
      </c>
      <c r="S287" s="3">
        <v>4</v>
      </c>
      <c r="T287" s="3" t="s">
        <v>31</v>
      </c>
      <c r="U287" s="3">
        <v>9</v>
      </c>
      <c r="V287" s="3" t="s">
        <v>30</v>
      </c>
      <c r="W287" s="4">
        <v>46115</v>
      </c>
      <c r="X287" s="4" t="str">
        <f t="shared" si="4"/>
        <v>Exited</v>
      </c>
      <c r="Y287" s="3" t="s">
        <v>84</v>
      </c>
    </row>
    <row r="288" spans="1:25">
      <c r="A288" s="2">
        <v>10287</v>
      </c>
      <c r="B288" s="3" t="s">
        <v>344</v>
      </c>
      <c r="C288" s="3" t="s">
        <v>25</v>
      </c>
      <c r="D288" s="3">
        <v>33</v>
      </c>
      <c r="E288" s="3" t="s">
        <v>102</v>
      </c>
      <c r="F288" s="3" t="s">
        <v>116</v>
      </c>
      <c r="G288" s="3" t="s">
        <v>37</v>
      </c>
      <c r="H288" s="3" t="s">
        <v>57</v>
      </c>
      <c r="I288" s="4">
        <v>41142</v>
      </c>
      <c r="J288" s="3">
        <v>14</v>
      </c>
      <c r="K288" s="5">
        <v>47269.440000000002</v>
      </c>
      <c r="L288" s="5">
        <v>1913.21</v>
      </c>
      <c r="M288" s="3" t="s">
        <v>30</v>
      </c>
      <c r="N288" s="3">
        <v>5</v>
      </c>
      <c r="O288" s="3">
        <v>5</v>
      </c>
      <c r="P288" s="3">
        <v>5</v>
      </c>
      <c r="Q288" s="3">
        <v>13</v>
      </c>
      <c r="R288" s="3" t="s">
        <v>30</v>
      </c>
      <c r="S288" s="3">
        <v>12</v>
      </c>
      <c r="T288" s="3" t="s">
        <v>31</v>
      </c>
      <c r="U288" s="3">
        <v>10</v>
      </c>
      <c r="V288" s="3" t="s">
        <v>32</v>
      </c>
      <c r="W288" s="4"/>
      <c r="X288" s="4" t="str">
        <f t="shared" si="4"/>
        <v>Active</v>
      </c>
      <c r="Y288" s="3" t="s">
        <v>53</v>
      </c>
    </row>
    <row r="289" spans="1:25">
      <c r="A289" s="2">
        <v>10288</v>
      </c>
      <c r="B289" s="3" t="s">
        <v>248</v>
      </c>
      <c r="C289" s="3" t="s">
        <v>41</v>
      </c>
      <c r="D289" s="3">
        <v>31</v>
      </c>
      <c r="E289" s="3" t="s">
        <v>42</v>
      </c>
      <c r="F289" s="3" t="s">
        <v>43</v>
      </c>
      <c r="G289" s="3" t="s">
        <v>37</v>
      </c>
      <c r="H289" s="3" t="s">
        <v>57</v>
      </c>
      <c r="I289" s="4">
        <v>44607</v>
      </c>
      <c r="J289" s="3">
        <v>4</v>
      </c>
      <c r="K289" s="5">
        <v>59400.62</v>
      </c>
      <c r="L289" s="5">
        <v>2192.4499999999998</v>
      </c>
      <c r="M289" s="3" t="s">
        <v>32</v>
      </c>
      <c r="N289" s="3">
        <v>1</v>
      </c>
      <c r="O289" s="3">
        <v>1</v>
      </c>
      <c r="P289" s="3">
        <v>4</v>
      </c>
      <c r="Q289" s="3">
        <v>6</v>
      </c>
      <c r="R289" s="3" t="s">
        <v>30</v>
      </c>
      <c r="S289" s="3">
        <v>13</v>
      </c>
      <c r="T289" s="3" t="s">
        <v>52</v>
      </c>
      <c r="U289" s="3">
        <v>19</v>
      </c>
      <c r="V289" s="3" t="s">
        <v>32</v>
      </c>
      <c r="W289" s="4"/>
      <c r="X289" s="4" t="str">
        <f t="shared" si="4"/>
        <v>Active</v>
      </c>
      <c r="Y289" s="3" t="s">
        <v>132</v>
      </c>
    </row>
    <row r="290" spans="1:25">
      <c r="A290" s="2">
        <v>10289</v>
      </c>
      <c r="B290" s="3" t="s">
        <v>345</v>
      </c>
      <c r="C290" s="3" t="s">
        <v>41</v>
      </c>
      <c r="D290" s="3">
        <v>40</v>
      </c>
      <c r="E290" s="3" t="s">
        <v>102</v>
      </c>
      <c r="F290" s="3" t="s">
        <v>165</v>
      </c>
      <c r="G290" s="3" t="s">
        <v>37</v>
      </c>
      <c r="H290" s="3" t="s">
        <v>45</v>
      </c>
      <c r="I290" s="4">
        <v>44549</v>
      </c>
      <c r="J290" s="3">
        <v>5</v>
      </c>
      <c r="K290" s="5">
        <v>38534.550000000003</v>
      </c>
      <c r="L290" s="5">
        <v>5393.37</v>
      </c>
      <c r="M290" s="3" t="s">
        <v>32</v>
      </c>
      <c r="N290" s="3">
        <v>5</v>
      </c>
      <c r="O290" s="3">
        <v>2</v>
      </c>
      <c r="P290" s="3">
        <v>1</v>
      </c>
      <c r="Q290" s="3">
        <v>59</v>
      </c>
      <c r="R290" s="3" t="s">
        <v>30</v>
      </c>
      <c r="S290" s="3">
        <v>10</v>
      </c>
      <c r="T290" s="3" t="s">
        <v>31</v>
      </c>
      <c r="U290" s="3">
        <v>20</v>
      </c>
      <c r="V290" s="3" t="s">
        <v>32</v>
      </c>
      <c r="W290" s="4"/>
      <c r="X290" s="4" t="str">
        <f t="shared" si="4"/>
        <v>Active</v>
      </c>
      <c r="Y290" s="3" t="s">
        <v>71</v>
      </c>
    </row>
    <row r="291" spans="1:25">
      <c r="A291" s="2">
        <v>10290</v>
      </c>
      <c r="B291" s="3" t="s">
        <v>346</v>
      </c>
      <c r="C291" s="3" t="s">
        <v>41</v>
      </c>
      <c r="D291" s="3">
        <v>30</v>
      </c>
      <c r="E291" s="3" t="s">
        <v>35</v>
      </c>
      <c r="F291" s="3" t="s">
        <v>51</v>
      </c>
      <c r="G291" s="3" t="s">
        <v>78</v>
      </c>
      <c r="H291" s="3" t="s">
        <v>57</v>
      </c>
      <c r="I291" s="4">
        <v>41681</v>
      </c>
      <c r="J291" s="3">
        <v>12</v>
      </c>
      <c r="K291" s="5">
        <v>69980.73</v>
      </c>
      <c r="L291" s="5">
        <v>7451.09</v>
      </c>
      <c r="M291" s="3" t="s">
        <v>32</v>
      </c>
      <c r="N291" s="3">
        <v>3</v>
      </c>
      <c r="O291" s="3">
        <v>4</v>
      </c>
      <c r="P291" s="3">
        <v>4</v>
      </c>
      <c r="Q291" s="3">
        <v>3</v>
      </c>
      <c r="R291" s="3" t="s">
        <v>30</v>
      </c>
      <c r="S291" s="3">
        <v>4</v>
      </c>
      <c r="T291" s="3" t="s">
        <v>38</v>
      </c>
      <c r="U291" s="3">
        <v>15</v>
      </c>
      <c r="V291" s="3" t="s">
        <v>32</v>
      </c>
      <c r="W291" s="4"/>
      <c r="X291" s="4" t="str">
        <f t="shared" si="4"/>
        <v>Active</v>
      </c>
      <c r="Y291" s="3" t="s">
        <v>87</v>
      </c>
    </row>
    <row r="292" spans="1:25">
      <c r="A292" s="2">
        <v>10291</v>
      </c>
      <c r="B292" s="3" t="s">
        <v>347</v>
      </c>
      <c r="C292" s="3" t="s">
        <v>41</v>
      </c>
      <c r="D292" s="3">
        <v>57</v>
      </c>
      <c r="E292" s="3" t="s">
        <v>26</v>
      </c>
      <c r="F292" s="3" t="s">
        <v>105</v>
      </c>
      <c r="G292" s="3" t="s">
        <v>28</v>
      </c>
      <c r="H292" s="3" t="s">
        <v>45</v>
      </c>
      <c r="I292" s="4">
        <v>41055</v>
      </c>
      <c r="J292" s="3">
        <v>14</v>
      </c>
      <c r="K292" s="5">
        <v>66181.53</v>
      </c>
      <c r="L292" s="5">
        <v>6911.25</v>
      </c>
      <c r="M292" s="3" t="s">
        <v>32</v>
      </c>
      <c r="N292" s="3">
        <v>5</v>
      </c>
      <c r="O292" s="3">
        <v>4</v>
      </c>
      <c r="P292" s="3">
        <v>4</v>
      </c>
      <c r="Q292" s="3">
        <v>75</v>
      </c>
      <c r="R292" s="3" t="s">
        <v>32</v>
      </c>
      <c r="S292" s="3">
        <v>20</v>
      </c>
      <c r="T292" s="3" t="s">
        <v>52</v>
      </c>
      <c r="U292" s="3">
        <v>17</v>
      </c>
      <c r="V292" s="3" t="s">
        <v>30</v>
      </c>
      <c r="W292" s="4">
        <v>45549</v>
      </c>
      <c r="X292" s="4" t="str">
        <f t="shared" si="4"/>
        <v>Exited</v>
      </c>
      <c r="Y292" s="3" t="s">
        <v>33</v>
      </c>
    </row>
    <row r="293" spans="1:25">
      <c r="A293" s="2">
        <v>10292</v>
      </c>
      <c r="B293" s="3" t="s">
        <v>344</v>
      </c>
      <c r="C293" s="3" t="s">
        <v>25</v>
      </c>
      <c r="D293" s="3">
        <v>58</v>
      </c>
      <c r="E293" s="3" t="s">
        <v>73</v>
      </c>
      <c r="F293" s="3" t="s">
        <v>99</v>
      </c>
      <c r="G293" s="3" t="s">
        <v>37</v>
      </c>
      <c r="H293" s="3" t="s">
        <v>57</v>
      </c>
      <c r="I293" s="4">
        <v>44639</v>
      </c>
      <c r="J293" s="3">
        <v>4</v>
      </c>
      <c r="K293" s="5">
        <v>81647.990000000005</v>
      </c>
      <c r="L293" s="5">
        <v>3470.13</v>
      </c>
      <c r="M293" s="3" t="s">
        <v>32</v>
      </c>
      <c r="N293" s="3">
        <v>5</v>
      </c>
      <c r="O293" s="3">
        <v>4</v>
      </c>
      <c r="P293" s="3">
        <v>1</v>
      </c>
      <c r="Q293" s="3">
        <v>75</v>
      </c>
      <c r="R293" s="3" t="s">
        <v>32</v>
      </c>
      <c r="S293" s="3">
        <v>11</v>
      </c>
      <c r="T293" s="3" t="s">
        <v>31</v>
      </c>
      <c r="U293" s="3">
        <v>3</v>
      </c>
      <c r="V293" s="3" t="s">
        <v>32</v>
      </c>
      <c r="W293" s="4"/>
      <c r="X293" s="4" t="str">
        <f t="shared" si="4"/>
        <v>Active</v>
      </c>
      <c r="Y293" s="3" t="s">
        <v>87</v>
      </c>
    </row>
    <row r="294" spans="1:25">
      <c r="A294" s="2">
        <v>10293</v>
      </c>
      <c r="B294" s="3" t="s">
        <v>348</v>
      </c>
      <c r="C294" s="3" t="s">
        <v>41</v>
      </c>
      <c r="D294" s="3">
        <v>59</v>
      </c>
      <c r="E294" s="3" t="s">
        <v>42</v>
      </c>
      <c r="F294" s="3" t="s">
        <v>70</v>
      </c>
      <c r="G294" s="3" t="s">
        <v>28</v>
      </c>
      <c r="H294" s="3" t="s">
        <v>45</v>
      </c>
      <c r="I294" s="4">
        <v>45587</v>
      </c>
      <c r="J294" s="3">
        <v>2</v>
      </c>
      <c r="K294" s="5">
        <v>38381.519999999997</v>
      </c>
      <c r="L294" s="5">
        <v>1853.43</v>
      </c>
      <c r="M294" s="3" t="s">
        <v>30</v>
      </c>
      <c r="N294" s="3">
        <v>5</v>
      </c>
      <c r="O294" s="3">
        <v>1</v>
      </c>
      <c r="P294" s="3">
        <v>2</v>
      </c>
      <c r="Q294" s="3">
        <v>19</v>
      </c>
      <c r="R294" s="3" t="s">
        <v>32</v>
      </c>
      <c r="S294" s="3">
        <v>10</v>
      </c>
      <c r="T294" s="3" t="s">
        <v>38</v>
      </c>
      <c r="U294" s="3">
        <v>19</v>
      </c>
      <c r="V294" s="3" t="s">
        <v>32</v>
      </c>
      <c r="W294" s="4"/>
      <c r="X294" s="4" t="str">
        <f t="shared" si="4"/>
        <v>Active</v>
      </c>
      <c r="Y294" s="3" t="s">
        <v>68</v>
      </c>
    </row>
    <row r="295" spans="1:25">
      <c r="A295" s="2">
        <v>10294</v>
      </c>
      <c r="B295" s="3" t="s">
        <v>349</v>
      </c>
      <c r="C295" s="3" t="s">
        <v>25</v>
      </c>
      <c r="D295" s="3">
        <v>57</v>
      </c>
      <c r="E295" s="3" t="s">
        <v>35</v>
      </c>
      <c r="F295" s="3" t="s">
        <v>51</v>
      </c>
      <c r="G295" s="3" t="s">
        <v>78</v>
      </c>
      <c r="H295" s="3" t="s">
        <v>57</v>
      </c>
      <c r="I295" s="4">
        <v>42999</v>
      </c>
      <c r="J295" s="3">
        <v>9</v>
      </c>
      <c r="K295" s="5">
        <v>84514.46</v>
      </c>
      <c r="L295" s="5">
        <v>8092.64</v>
      </c>
      <c r="M295" s="3" t="s">
        <v>32</v>
      </c>
      <c r="N295" s="3">
        <v>5</v>
      </c>
      <c r="O295" s="3">
        <v>4</v>
      </c>
      <c r="P295" s="3">
        <v>2</v>
      </c>
      <c r="Q295" s="3">
        <v>37</v>
      </c>
      <c r="R295" s="3" t="s">
        <v>30</v>
      </c>
      <c r="S295" s="3">
        <v>29</v>
      </c>
      <c r="T295" s="3" t="s">
        <v>31</v>
      </c>
      <c r="U295" s="3">
        <v>1</v>
      </c>
      <c r="V295" s="3" t="s">
        <v>30</v>
      </c>
      <c r="W295" s="4">
        <v>45708</v>
      </c>
      <c r="X295" s="4" t="str">
        <f t="shared" si="4"/>
        <v>Exited</v>
      </c>
      <c r="Y295" s="3" t="s">
        <v>55</v>
      </c>
    </row>
    <row r="296" spans="1:25">
      <c r="A296" s="2">
        <v>10295</v>
      </c>
      <c r="B296" s="3" t="s">
        <v>350</v>
      </c>
      <c r="C296" s="3" t="s">
        <v>41</v>
      </c>
      <c r="D296" s="3">
        <v>39</v>
      </c>
      <c r="E296" s="3" t="s">
        <v>35</v>
      </c>
      <c r="F296" s="3" t="s">
        <v>36</v>
      </c>
      <c r="G296" s="3" t="s">
        <v>28</v>
      </c>
      <c r="H296" s="3" t="s">
        <v>45</v>
      </c>
      <c r="I296" s="4">
        <v>45013</v>
      </c>
      <c r="J296" s="3">
        <v>3</v>
      </c>
      <c r="K296" s="5">
        <v>54713.42</v>
      </c>
      <c r="L296" s="5">
        <v>3357.03</v>
      </c>
      <c r="M296" s="3" t="s">
        <v>32</v>
      </c>
      <c r="N296" s="3">
        <v>4</v>
      </c>
      <c r="O296" s="3">
        <v>4</v>
      </c>
      <c r="P296" s="3">
        <v>5</v>
      </c>
      <c r="Q296" s="3">
        <v>27</v>
      </c>
      <c r="R296" s="3" t="s">
        <v>32</v>
      </c>
      <c r="S296" s="3">
        <v>16</v>
      </c>
      <c r="T296" s="3" t="s">
        <v>52</v>
      </c>
      <c r="U296" s="3">
        <v>6</v>
      </c>
      <c r="V296" s="3" t="s">
        <v>32</v>
      </c>
      <c r="W296" s="4"/>
      <c r="X296" s="4" t="str">
        <f t="shared" si="4"/>
        <v>Active</v>
      </c>
      <c r="Y296" s="3" t="s">
        <v>55</v>
      </c>
    </row>
    <row r="297" spans="1:25">
      <c r="A297" s="2">
        <v>10296</v>
      </c>
      <c r="B297" s="3" t="s">
        <v>351</v>
      </c>
      <c r="C297" s="3" t="s">
        <v>41</v>
      </c>
      <c r="D297" s="3">
        <v>39</v>
      </c>
      <c r="E297" s="3" t="s">
        <v>35</v>
      </c>
      <c r="F297" s="3" t="s">
        <v>80</v>
      </c>
      <c r="G297" s="3" t="s">
        <v>28</v>
      </c>
      <c r="H297" s="3" t="s">
        <v>29</v>
      </c>
      <c r="I297" s="4">
        <v>45490</v>
      </c>
      <c r="J297" s="3">
        <v>2</v>
      </c>
      <c r="K297" s="5">
        <v>35785.39</v>
      </c>
      <c r="L297" s="5">
        <v>4071.45</v>
      </c>
      <c r="M297" s="3" t="s">
        <v>32</v>
      </c>
      <c r="N297" s="3">
        <v>4</v>
      </c>
      <c r="O297" s="3">
        <v>2</v>
      </c>
      <c r="P297" s="3">
        <v>1</v>
      </c>
      <c r="Q297" s="3">
        <v>17</v>
      </c>
      <c r="R297" s="3" t="s">
        <v>32</v>
      </c>
      <c r="S297" s="3">
        <v>14</v>
      </c>
      <c r="T297" s="3" t="s">
        <v>38</v>
      </c>
      <c r="U297" s="3">
        <v>19</v>
      </c>
      <c r="V297" s="3" t="s">
        <v>32</v>
      </c>
      <c r="W297" s="4"/>
      <c r="X297" s="4" t="str">
        <f t="shared" si="4"/>
        <v>Active</v>
      </c>
      <c r="Y297" s="3" t="s">
        <v>81</v>
      </c>
    </row>
    <row r="298" spans="1:25">
      <c r="A298" s="2">
        <v>10297</v>
      </c>
      <c r="B298" s="3" t="s">
        <v>352</v>
      </c>
      <c r="C298" s="3" t="s">
        <v>25</v>
      </c>
      <c r="D298" s="3">
        <v>48</v>
      </c>
      <c r="E298" s="3" t="s">
        <v>60</v>
      </c>
      <c r="F298" s="3" t="s">
        <v>180</v>
      </c>
      <c r="G298" s="3" t="s">
        <v>28</v>
      </c>
      <c r="H298" s="3" t="s">
        <v>29</v>
      </c>
      <c r="I298" s="4">
        <v>41701</v>
      </c>
      <c r="J298" s="3">
        <v>12</v>
      </c>
      <c r="K298" s="5">
        <v>76857.89</v>
      </c>
      <c r="L298" s="5">
        <v>1611.39</v>
      </c>
      <c r="M298" s="3" t="s">
        <v>32</v>
      </c>
      <c r="N298" s="3">
        <v>2</v>
      </c>
      <c r="O298" s="3">
        <v>5</v>
      </c>
      <c r="P298" s="3">
        <v>3</v>
      </c>
      <c r="Q298" s="3">
        <v>52</v>
      </c>
      <c r="R298" s="3" t="s">
        <v>32</v>
      </c>
      <c r="S298" s="3">
        <v>19</v>
      </c>
      <c r="T298" s="3" t="s">
        <v>38</v>
      </c>
      <c r="U298" s="3">
        <v>1</v>
      </c>
      <c r="V298" s="3" t="s">
        <v>32</v>
      </c>
      <c r="W298" s="4"/>
      <c r="X298" s="4" t="str">
        <f t="shared" si="4"/>
        <v>Active</v>
      </c>
      <c r="Y298" s="3" t="s">
        <v>81</v>
      </c>
    </row>
    <row r="299" spans="1:25">
      <c r="A299" s="2">
        <v>10298</v>
      </c>
      <c r="B299" s="3" t="s">
        <v>353</v>
      </c>
      <c r="C299" s="3" t="s">
        <v>41</v>
      </c>
      <c r="D299" s="3">
        <v>58</v>
      </c>
      <c r="E299" s="3" t="s">
        <v>73</v>
      </c>
      <c r="F299" s="3" t="s">
        <v>95</v>
      </c>
      <c r="G299" s="3" t="s">
        <v>28</v>
      </c>
      <c r="H299" s="3" t="s">
        <v>45</v>
      </c>
      <c r="I299" s="4">
        <v>44491</v>
      </c>
      <c r="J299" s="3">
        <v>5</v>
      </c>
      <c r="K299" s="5">
        <v>99014.75</v>
      </c>
      <c r="L299" s="5">
        <v>14641.99</v>
      </c>
      <c r="M299" s="3" t="s">
        <v>32</v>
      </c>
      <c r="N299" s="3">
        <v>4</v>
      </c>
      <c r="O299" s="3">
        <v>5</v>
      </c>
      <c r="P299" s="3">
        <v>1</v>
      </c>
      <c r="Q299" s="3">
        <v>66</v>
      </c>
      <c r="R299" s="3" t="s">
        <v>32</v>
      </c>
      <c r="S299" s="3">
        <v>3</v>
      </c>
      <c r="T299" s="3" t="s">
        <v>52</v>
      </c>
      <c r="U299" s="3">
        <v>15</v>
      </c>
      <c r="V299" s="3" t="s">
        <v>32</v>
      </c>
      <c r="W299" s="4"/>
      <c r="X299" s="4" t="str">
        <f t="shared" si="4"/>
        <v>Active</v>
      </c>
      <c r="Y299" s="3" t="s">
        <v>132</v>
      </c>
    </row>
    <row r="300" spans="1:25">
      <c r="A300" s="2">
        <v>10299</v>
      </c>
      <c r="B300" s="3" t="s">
        <v>354</v>
      </c>
      <c r="C300" s="3" t="s">
        <v>25</v>
      </c>
      <c r="D300" s="3">
        <v>58</v>
      </c>
      <c r="E300" s="3" t="s">
        <v>102</v>
      </c>
      <c r="F300" s="3" t="s">
        <v>107</v>
      </c>
      <c r="G300" s="3" t="s">
        <v>78</v>
      </c>
      <c r="H300" s="3" t="s">
        <v>45</v>
      </c>
      <c r="I300" s="4">
        <v>40267</v>
      </c>
      <c r="J300" s="3">
        <v>16</v>
      </c>
      <c r="K300" s="5">
        <v>56099.1</v>
      </c>
      <c r="L300" s="5">
        <v>4860.7700000000004</v>
      </c>
      <c r="M300" s="3" t="s">
        <v>32</v>
      </c>
      <c r="N300" s="3">
        <v>3</v>
      </c>
      <c r="O300" s="3">
        <v>4</v>
      </c>
      <c r="P300" s="3">
        <v>3</v>
      </c>
      <c r="Q300" s="3">
        <v>37</v>
      </c>
      <c r="R300" s="3" t="s">
        <v>32</v>
      </c>
      <c r="S300" s="3">
        <v>2</v>
      </c>
      <c r="T300" s="3" t="s">
        <v>31</v>
      </c>
      <c r="U300" s="3">
        <v>19</v>
      </c>
      <c r="V300" s="3" t="s">
        <v>32</v>
      </c>
      <c r="W300" s="4"/>
      <c r="X300" s="4" t="str">
        <f t="shared" si="4"/>
        <v>Active</v>
      </c>
      <c r="Y300" s="3" t="s">
        <v>53</v>
      </c>
    </row>
    <row r="301" spans="1:25">
      <c r="A301" s="2">
        <v>10300</v>
      </c>
      <c r="B301" s="3" t="s">
        <v>355</v>
      </c>
      <c r="C301" s="3" t="s">
        <v>41</v>
      </c>
      <c r="D301" s="3">
        <v>51</v>
      </c>
      <c r="E301" s="3" t="s">
        <v>60</v>
      </c>
      <c r="F301" s="3" t="s">
        <v>64</v>
      </c>
      <c r="G301" s="3" t="s">
        <v>37</v>
      </c>
      <c r="H301" s="3" t="s">
        <v>45</v>
      </c>
      <c r="I301" s="4">
        <v>42569</v>
      </c>
      <c r="J301" s="3">
        <v>10</v>
      </c>
      <c r="K301" s="5">
        <v>105667.18</v>
      </c>
      <c r="L301" s="5">
        <v>10689.42</v>
      </c>
      <c r="M301" s="3" t="s">
        <v>30</v>
      </c>
      <c r="N301" s="3">
        <v>1</v>
      </c>
      <c r="O301" s="3">
        <v>2</v>
      </c>
      <c r="P301" s="3">
        <v>5</v>
      </c>
      <c r="Q301" s="3">
        <v>9</v>
      </c>
      <c r="R301" s="3" t="s">
        <v>32</v>
      </c>
      <c r="S301" s="3">
        <v>9</v>
      </c>
      <c r="T301" s="3" t="s">
        <v>38</v>
      </c>
      <c r="U301" s="3">
        <v>4</v>
      </c>
      <c r="V301" s="3" t="s">
        <v>32</v>
      </c>
      <c r="W301" s="4"/>
      <c r="X301" s="4" t="str">
        <f t="shared" si="4"/>
        <v>Active</v>
      </c>
      <c r="Y301" s="3" t="s">
        <v>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97C1A-D216-4356-BC32-A02E82D73FDE}">
  <sheetPr codeName="Sheet2"/>
  <dimension ref="A1:AS40"/>
  <sheetViews>
    <sheetView workbookViewId="0">
      <selection activeCell="C3" sqref="C3"/>
    </sheetView>
  </sheetViews>
  <sheetFormatPr defaultRowHeight="15"/>
  <cols>
    <col min="1" max="1" width="19.28515625" bestFit="1" customWidth="1"/>
    <col min="2" max="2" width="21" customWidth="1"/>
    <col min="3" max="3" width="16.85546875" customWidth="1"/>
    <col min="4" max="4" width="7.140625" bestFit="1" customWidth="1"/>
    <col min="5" max="5" width="16.85546875" bestFit="1" customWidth="1"/>
    <col min="6" max="6" width="21" bestFit="1" customWidth="1"/>
    <col min="8" max="8" width="13.140625" bestFit="1" customWidth="1"/>
    <col min="9" max="9" width="21" customWidth="1"/>
    <col min="13" max="13" width="13.140625" customWidth="1"/>
    <col min="14" max="14" width="21" customWidth="1"/>
    <col min="23" max="23" width="13.140625" bestFit="1" customWidth="1"/>
    <col min="24" max="24" width="21" bestFit="1" customWidth="1"/>
    <col min="25" max="25" width="3.42578125" bestFit="1" customWidth="1"/>
    <col min="26" max="26" width="3" bestFit="1" customWidth="1"/>
    <col min="27" max="27" width="10.140625" bestFit="1" customWidth="1"/>
    <col min="28" max="28" width="13.140625" bestFit="1" customWidth="1"/>
    <col min="29" max="29" width="21" bestFit="1" customWidth="1"/>
    <col min="30" max="30" width="5.5703125" bestFit="1" customWidth="1"/>
    <col min="31" max="31" width="11.28515625" bestFit="1" customWidth="1"/>
    <col min="34" max="34" width="13.140625" bestFit="1" customWidth="1"/>
    <col min="35" max="35" width="29.7109375" bestFit="1" customWidth="1"/>
    <col min="41" max="41" width="13.140625" bestFit="1" customWidth="1"/>
    <col min="42" max="42" width="13.42578125" bestFit="1" customWidth="1"/>
    <col min="45" max="45" width="13.42578125" bestFit="1" customWidth="1"/>
    <col min="49" max="49" width="13.140625" bestFit="1" customWidth="1"/>
    <col min="50" max="50" width="21" bestFit="1" customWidth="1"/>
    <col min="51" max="51" width="16.42578125" bestFit="1" customWidth="1"/>
  </cols>
  <sheetData>
    <row r="1" spans="1:38">
      <c r="C1" s="7" t="s">
        <v>357</v>
      </c>
      <c r="D1" t="s">
        <v>358</v>
      </c>
      <c r="F1" t="s">
        <v>361</v>
      </c>
      <c r="H1" t="s">
        <v>362</v>
      </c>
      <c r="AB1" s="7" t="s">
        <v>357</v>
      </c>
      <c r="AC1" t="s">
        <v>358</v>
      </c>
    </row>
    <row r="2" spans="1:38">
      <c r="A2" t="s">
        <v>385</v>
      </c>
      <c r="F2" s="8">
        <v>67325.242233333338</v>
      </c>
      <c r="H2" s="9">
        <v>3.1366666666666667</v>
      </c>
      <c r="J2" s="6" t="s">
        <v>387</v>
      </c>
      <c r="M2" s="7" t="s">
        <v>366</v>
      </c>
      <c r="N2" t="s">
        <v>356</v>
      </c>
      <c r="W2" s="7" t="s">
        <v>366</v>
      </c>
      <c r="X2" t="s">
        <v>356</v>
      </c>
      <c r="AG2" s="17" t="s">
        <v>384</v>
      </c>
      <c r="AH2" s="16"/>
      <c r="AI2" s="16"/>
      <c r="AJ2" s="16"/>
      <c r="AK2" s="16"/>
      <c r="AL2" s="16"/>
    </row>
    <row r="3" spans="1:38">
      <c r="A3" s="18">
        <v>300</v>
      </c>
      <c r="C3" t="s">
        <v>360</v>
      </c>
      <c r="M3" s="11" t="s">
        <v>369</v>
      </c>
      <c r="N3" s="18">
        <v>11</v>
      </c>
      <c r="W3" s="11">
        <v>1</v>
      </c>
      <c r="X3" s="18">
        <v>44</v>
      </c>
      <c r="AB3" s="7" t="s">
        <v>366</v>
      </c>
      <c r="AC3" t="s">
        <v>356</v>
      </c>
      <c r="AG3" s="16"/>
      <c r="AH3" s="16"/>
      <c r="AI3" s="16"/>
      <c r="AJ3" s="16"/>
      <c r="AK3" s="16"/>
      <c r="AL3" s="16"/>
    </row>
    <row r="4" spans="1:38">
      <c r="C4" s="18">
        <v>300</v>
      </c>
      <c r="J4" s="6" t="s">
        <v>386</v>
      </c>
      <c r="M4" s="11" t="s">
        <v>370</v>
      </c>
      <c r="N4" s="18">
        <v>24</v>
      </c>
      <c r="W4" s="11">
        <v>2</v>
      </c>
      <c r="X4" s="18">
        <v>66</v>
      </c>
      <c r="AB4" s="11" t="s">
        <v>73</v>
      </c>
      <c r="AC4" s="18">
        <v>42</v>
      </c>
      <c r="AG4" s="16"/>
      <c r="AH4" s="16"/>
      <c r="AI4" s="16"/>
      <c r="AJ4" s="16"/>
      <c r="AK4" s="16"/>
      <c r="AL4" s="16"/>
    </row>
    <row r="5" spans="1:38">
      <c r="E5" s="6" t="s">
        <v>364</v>
      </c>
      <c r="H5" s="6" t="s">
        <v>363</v>
      </c>
      <c r="M5" s="11" t="s">
        <v>371</v>
      </c>
      <c r="N5" s="18">
        <v>27</v>
      </c>
      <c r="W5" s="11">
        <v>3</v>
      </c>
      <c r="X5" s="18">
        <v>65</v>
      </c>
      <c r="AB5" s="11" t="s">
        <v>102</v>
      </c>
      <c r="AC5" s="18">
        <v>41</v>
      </c>
    </row>
    <row r="6" spans="1:38">
      <c r="E6">
        <f>GETPIVOTDATA("Employee_ID",$A$2)-GETPIVOTDATA("Employee_ID",$C$3)</f>
        <v>0</v>
      </c>
      <c r="H6" s="10">
        <f>E6/GETPIVOTDATA("Employee_ID",$A$2)</f>
        <v>0</v>
      </c>
      <c r="M6" s="11" t="s">
        <v>372</v>
      </c>
      <c r="N6" s="18">
        <v>17</v>
      </c>
      <c r="W6" s="11">
        <v>4</v>
      </c>
      <c r="X6" s="18">
        <v>55</v>
      </c>
      <c r="AB6" s="11" t="s">
        <v>60</v>
      </c>
      <c r="AC6" s="18">
        <v>36</v>
      </c>
    </row>
    <row r="7" spans="1:38">
      <c r="A7" s="15" t="s">
        <v>365</v>
      </c>
      <c r="B7" s="16"/>
      <c r="C7" s="16"/>
      <c r="D7" s="16"/>
      <c r="E7" s="16"/>
      <c r="F7" s="16"/>
      <c r="G7" s="16"/>
      <c r="H7" s="16"/>
      <c r="M7" s="11" t="s">
        <v>373</v>
      </c>
      <c r="N7" s="18">
        <v>23</v>
      </c>
      <c r="W7" s="11">
        <v>5</v>
      </c>
      <c r="X7" s="18">
        <v>70</v>
      </c>
      <c r="AB7" s="11" t="s">
        <v>48</v>
      </c>
      <c r="AC7" s="18">
        <v>34</v>
      </c>
    </row>
    <row r="8" spans="1:38">
      <c r="A8" s="16"/>
      <c r="B8" s="16"/>
      <c r="C8" s="16"/>
      <c r="D8" s="16"/>
      <c r="E8" s="16"/>
      <c r="F8" s="16"/>
      <c r="G8" s="16"/>
      <c r="H8" s="16"/>
      <c r="M8" s="11" t="s">
        <v>374</v>
      </c>
      <c r="N8" s="18">
        <v>14</v>
      </c>
      <c r="W8" s="11" t="s">
        <v>367</v>
      </c>
      <c r="X8" s="18">
        <v>300</v>
      </c>
      <c r="AB8" s="11" t="s">
        <v>35</v>
      </c>
      <c r="AC8" s="18">
        <v>56</v>
      </c>
    </row>
    <row r="9" spans="1:38">
      <c r="A9" s="16"/>
      <c r="B9" s="16"/>
      <c r="C9" s="16"/>
      <c r="D9" s="16"/>
      <c r="E9" s="16"/>
      <c r="F9" s="16"/>
      <c r="G9" s="16"/>
      <c r="H9" s="16"/>
      <c r="M9" s="11" t="s">
        <v>375</v>
      </c>
      <c r="N9" s="18">
        <v>15</v>
      </c>
      <c r="AB9" s="11" t="s">
        <v>26</v>
      </c>
      <c r="AC9" s="18">
        <v>46</v>
      </c>
    </row>
    <row r="10" spans="1:38">
      <c r="A10" s="7" t="s">
        <v>366</v>
      </c>
      <c r="B10" t="s">
        <v>356</v>
      </c>
      <c r="E10" s="7" t="s">
        <v>366</v>
      </c>
      <c r="F10" t="s">
        <v>356</v>
      </c>
      <c r="M10" s="11" t="s">
        <v>376</v>
      </c>
      <c r="N10" s="18">
        <v>20</v>
      </c>
      <c r="AB10" s="11" t="s">
        <v>42</v>
      </c>
      <c r="AC10" s="18">
        <v>45</v>
      </c>
    </row>
    <row r="11" spans="1:38">
      <c r="A11" s="11" t="s">
        <v>73</v>
      </c>
      <c r="B11" s="18">
        <v>42</v>
      </c>
      <c r="E11" s="11" t="s">
        <v>41</v>
      </c>
      <c r="F11" s="18">
        <v>151</v>
      </c>
      <c r="H11" s="7" t="s">
        <v>366</v>
      </c>
      <c r="I11" t="s">
        <v>356</v>
      </c>
      <c r="M11" s="11" t="s">
        <v>377</v>
      </c>
      <c r="N11" s="18">
        <v>21</v>
      </c>
      <c r="AB11" s="11" t="s">
        <v>367</v>
      </c>
      <c r="AC11" s="18">
        <v>300</v>
      </c>
    </row>
    <row r="12" spans="1:38">
      <c r="A12" s="11" t="s">
        <v>102</v>
      </c>
      <c r="B12" s="18">
        <v>41</v>
      </c>
      <c r="E12" s="11" t="s">
        <v>25</v>
      </c>
      <c r="F12" s="18">
        <v>149</v>
      </c>
      <c r="H12" s="11" t="s">
        <v>359</v>
      </c>
      <c r="I12" s="18">
        <v>263</v>
      </c>
      <c r="M12" s="11" t="s">
        <v>378</v>
      </c>
      <c r="N12" s="18">
        <v>20</v>
      </c>
      <c r="W12" s="7" t="s">
        <v>366</v>
      </c>
      <c r="X12" t="s">
        <v>356</v>
      </c>
    </row>
    <row r="13" spans="1:38">
      <c r="A13" s="11" t="s">
        <v>60</v>
      </c>
      <c r="B13" s="18">
        <v>36</v>
      </c>
      <c r="E13" s="11" t="s">
        <v>367</v>
      </c>
      <c r="F13" s="18">
        <v>300</v>
      </c>
      <c r="H13" s="11" t="s">
        <v>368</v>
      </c>
      <c r="I13" s="18">
        <v>37</v>
      </c>
      <c r="M13" s="11" t="s">
        <v>379</v>
      </c>
      <c r="N13" s="18">
        <v>16</v>
      </c>
      <c r="W13" s="11" t="s">
        <v>73</v>
      </c>
      <c r="X13" s="18">
        <v>42</v>
      </c>
    </row>
    <row r="14" spans="1:38">
      <c r="A14" s="11" t="s">
        <v>48</v>
      </c>
      <c r="B14" s="18">
        <v>34</v>
      </c>
      <c r="H14" s="11" t="s">
        <v>367</v>
      </c>
      <c r="I14" s="18">
        <v>300</v>
      </c>
      <c r="M14" s="11" t="s">
        <v>380</v>
      </c>
      <c r="N14" s="18">
        <v>23</v>
      </c>
      <c r="W14" s="11" t="s">
        <v>102</v>
      </c>
      <c r="X14" s="18">
        <v>41</v>
      </c>
    </row>
    <row r="15" spans="1:38">
      <c r="A15" s="11" t="s">
        <v>35</v>
      </c>
      <c r="B15" s="18">
        <v>56</v>
      </c>
      <c r="M15" s="11" t="s">
        <v>381</v>
      </c>
      <c r="N15" s="18">
        <v>30</v>
      </c>
      <c r="W15" s="11" t="s">
        <v>60</v>
      </c>
      <c r="X15" s="18">
        <v>36</v>
      </c>
    </row>
    <row r="16" spans="1:38">
      <c r="A16" s="11" t="s">
        <v>26</v>
      </c>
      <c r="B16" s="18">
        <v>46</v>
      </c>
      <c r="M16" s="11" t="s">
        <v>382</v>
      </c>
      <c r="N16" s="18">
        <v>20</v>
      </c>
      <c r="W16" s="11" t="s">
        <v>48</v>
      </c>
      <c r="X16" s="18">
        <v>34</v>
      </c>
    </row>
    <row r="17" spans="1:45">
      <c r="A17" s="11" t="s">
        <v>42</v>
      </c>
      <c r="B17" s="18">
        <v>45</v>
      </c>
      <c r="M17" s="11" t="s">
        <v>383</v>
      </c>
      <c r="N17" s="18">
        <v>19</v>
      </c>
      <c r="W17" s="11" t="s">
        <v>35</v>
      </c>
      <c r="X17" s="18">
        <v>56</v>
      </c>
    </row>
    <row r="18" spans="1:45">
      <c r="A18" s="11" t="s">
        <v>367</v>
      </c>
      <c r="B18" s="18">
        <v>300</v>
      </c>
      <c r="M18" s="11" t="s">
        <v>367</v>
      </c>
      <c r="N18" s="18">
        <v>300</v>
      </c>
      <c r="W18" s="11" t="s">
        <v>26</v>
      </c>
      <c r="X18" s="18">
        <v>46</v>
      </c>
    </row>
    <row r="19" spans="1:45">
      <c r="W19" s="11" t="s">
        <v>42</v>
      </c>
      <c r="X19" s="18">
        <v>45</v>
      </c>
    </row>
    <row r="20" spans="1:45">
      <c r="W20" s="11" t="s">
        <v>367</v>
      </c>
      <c r="X20" s="18">
        <v>300</v>
      </c>
    </row>
    <row r="21" spans="1:45">
      <c r="AH21" s="7" t="s">
        <v>366</v>
      </c>
      <c r="AI21" t="s">
        <v>391</v>
      </c>
    </row>
    <row r="22" spans="1:45">
      <c r="AH22" s="11" t="s">
        <v>73</v>
      </c>
      <c r="AI22" s="19">
        <v>3.2380952380952381</v>
      </c>
    </row>
    <row r="23" spans="1:45">
      <c r="W23" s="7" t="s">
        <v>390</v>
      </c>
      <c r="X23" t="s">
        <v>356</v>
      </c>
      <c r="AH23" s="11" t="s">
        <v>102</v>
      </c>
      <c r="AI23" s="19">
        <v>3.1707317073170733</v>
      </c>
    </row>
    <row r="24" spans="1:45">
      <c r="W24" s="11" t="s">
        <v>73</v>
      </c>
      <c r="X24" s="18">
        <v>42</v>
      </c>
      <c r="AB24" t="s">
        <v>366</v>
      </c>
      <c r="AC24" t="s">
        <v>389</v>
      </c>
      <c r="AH24" s="11" t="s">
        <v>60</v>
      </c>
      <c r="AI24" s="19">
        <v>2.9444444444444446</v>
      </c>
      <c r="AO24" s="7" t="s">
        <v>366</v>
      </c>
      <c r="AP24" t="s">
        <v>392</v>
      </c>
      <c r="AR24" t="s">
        <v>366</v>
      </c>
      <c r="AS24" t="s">
        <v>392</v>
      </c>
    </row>
    <row r="25" spans="1:45">
      <c r="W25" s="11" t="s">
        <v>102</v>
      </c>
      <c r="X25" s="18">
        <v>41</v>
      </c>
      <c r="AB25" t="s">
        <v>388</v>
      </c>
      <c r="AC25">
        <v>42</v>
      </c>
      <c r="AH25" s="11" t="s">
        <v>48</v>
      </c>
      <c r="AI25" s="19">
        <v>3.0294117647058822</v>
      </c>
      <c r="AO25" s="11">
        <v>2</v>
      </c>
      <c r="AP25" s="8">
        <v>1087482.4899999998</v>
      </c>
      <c r="AR25">
        <v>2</v>
      </c>
      <c r="AS25" s="20">
        <v>1087482.4899999998</v>
      </c>
    </row>
    <row r="26" spans="1:45">
      <c r="W26" s="11" t="s">
        <v>60</v>
      </c>
      <c r="X26" s="18">
        <v>36</v>
      </c>
      <c r="AB26" t="s">
        <v>102</v>
      </c>
      <c r="AC26">
        <v>41</v>
      </c>
      <c r="AH26" s="11" t="s">
        <v>35</v>
      </c>
      <c r="AI26" s="19">
        <v>2.7857142857142856</v>
      </c>
      <c r="AO26" s="11">
        <v>3</v>
      </c>
      <c r="AP26" s="8">
        <v>1308562.27</v>
      </c>
      <c r="AR26">
        <v>3</v>
      </c>
      <c r="AS26" s="20">
        <v>1308562.27</v>
      </c>
    </row>
    <row r="27" spans="1:45">
      <c r="D27" s="12"/>
      <c r="E27" s="12"/>
      <c r="W27" s="11" t="s">
        <v>48</v>
      </c>
      <c r="X27" s="18">
        <v>34</v>
      </c>
      <c r="AB27" t="s">
        <v>60</v>
      </c>
      <c r="AC27">
        <v>36</v>
      </c>
      <c r="AH27" s="11" t="s">
        <v>26</v>
      </c>
      <c r="AI27" s="19">
        <v>3.4565217391304346</v>
      </c>
      <c r="AO27" s="11">
        <v>4</v>
      </c>
      <c r="AP27" s="8">
        <v>1985879.21</v>
      </c>
      <c r="AR27">
        <v>4</v>
      </c>
      <c r="AS27" s="20">
        <v>1985879.21</v>
      </c>
    </row>
    <row r="28" spans="1:45">
      <c r="D28" s="13"/>
      <c r="E28" s="13"/>
      <c r="W28" s="11" t="s">
        <v>35</v>
      </c>
      <c r="X28" s="18">
        <v>56</v>
      </c>
      <c r="AB28" t="s">
        <v>48</v>
      </c>
      <c r="AC28">
        <v>34</v>
      </c>
      <c r="AH28" s="11" t="s">
        <v>42</v>
      </c>
      <c r="AI28" s="19">
        <v>3.3555555555555556</v>
      </c>
      <c r="AO28" s="11">
        <v>5</v>
      </c>
      <c r="AP28" s="8">
        <v>1503680.93</v>
      </c>
      <c r="AR28">
        <v>5</v>
      </c>
      <c r="AS28" s="20">
        <v>1503680.93</v>
      </c>
    </row>
    <row r="29" spans="1:45">
      <c r="D29" s="13"/>
      <c r="E29" s="13"/>
      <c r="W29" s="11" t="s">
        <v>26</v>
      </c>
      <c r="X29" s="18">
        <v>46</v>
      </c>
      <c r="AB29" t="s">
        <v>35</v>
      </c>
      <c r="AC29">
        <v>56</v>
      </c>
      <c r="AH29" s="11" t="s">
        <v>367</v>
      </c>
      <c r="AI29" s="19">
        <v>3.1366666666666667</v>
      </c>
      <c r="AO29" s="11">
        <v>6</v>
      </c>
      <c r="AP29" s="8">
        <v>1150067.8999999999</v>
      </c>
      <c r="AR29">
        <v>6</v>
      </c>
      <c r="AS29" s="20">
        <v>1150067.8999999999</v>
      </c>
    </row>
    <row r="30" spans="1:45">
      <c r="D30" s="13"/>
      <c r="E30" s="13"/>
      <c r="W30" s="11" t="s">
        <v>42</v>
      </c>
      <c r="X30" s="18">
        <v>45</v>
      </c>
      <c r="AB30" t="s">
        <v>26</v>
      </c>
      <c r="AC30">
        <v>46</v>
      </c>
      <c r="AO30" s="11">
        <v>7</v>
      </c>
      <c r="AP30" s="8">
        <v>1429119.1500000001</v>
      </c>
      <c r="AR30">
        <v>7</v>
      </c>
      <c r="AS30" s="20">
        <v>1429119.1500000001</v>
      </c>
    </row>
    <row r="31" spans="1:45">
      <c r="D31" s="13"/>
      <c r="E31" s="13"/>
      <c r="W31" s="11" t="s">
        <v>367</v>
      </c>
      <c r="X31" s="18">
        <v>300</v>
      </c>
      <c r="AB31" t="s">
        <v>42</v>
      </c>
      <c r="AC31">
        <v>45</v>
      </c>
      <c r="AO31" s="11">
        <v>8</v>
      </c>
      <c r="AP31" s="8">
        <v>1394679.6600000001</v>
      </c>
      <c r="AR31">
        <v>8</v>
      </c>
      <c r="AS31" s="20">
        <v>1394679.6600000001</v>
      </c>
    </row>
    <row r="32" spans="1:45">
      <c r="D32" s="13"/>
      <c r="E32" s="13"/>
      <c r="AO32" s="11">
        <v>9</v>
      </c>
      <c r="AP32" s="8">
        <v>1384062.8699999999</v>
      </c>
      <c r="AR32">
        <v>9</v>
      </c>
      <c r="AS32" s="20">
        <v>1384062.8699999999</v>
      </c>
    </row>
    <row r="33" spans="4:45">
      <c r="D33" s="13"/>
      <c r="E33" s="14"/>
      <c r="AO33" s="11">
        <v>10</v>
      </c>
      <c r="AP33" s="8">
        <v>1138861.0899999999</v>
      </c>
      <c r="AR33">
        <v>10</v>
      </c>
      <c r="AS33" s="20">
        <v>1138861.0899999999</v>
      </c>
    </row>
    <row r="34" spans="4:45">
      <c r="AO34" s="11">
        <v>11</v>
      </c>
      <c r="AP34" s="8">
        <v>966944.46</v>
      </c>
      <c r="AR34">
        <v>11</v>
      </c>
      <c r="AS34" s="20">
        <v>966944.46</v>
      </c>
    </row>
    <row r="35" spans="4:45">
      <c r="AO35" s="11">
        <v>12</v>
      </c>
      <c r="AP35" s="8">
        <v>1675280.2700000003</v>
      </c>
      <c r="AR35">
        <v>12</v>
      </c>
      <c r="AS35" s="20">
        <v>1675280.2700000003</v>
      </c>
    </row>
    <row r="36" spans="4:45">
      <c r="AO36" s="11">
        <v>13</v>
      </c>
      <c r="AP36" s="8">
        <v>1146287.6600000001</v>
      </c>
      <c r="AR36">
        <v>13</v>
      </c>
      <c r="AS36" s="20">
        <v>1146287.6600000001</v>
      </c>
    </row>
    <row r="37" spans="4:45">
      <c r="AO37" s="11">
        <v>14</v>
      </c>
      <c r="AP37" s="8">
        <v>1608963.1400000001</v>
      </c>
      <c r="AR37">
        <v>14</v>
      </c>
      <c r="AS37" s="20">
        <v>1608963.1400000001</v>
      </c>
    </row>
    <row r="38" spans="4:45">
      <c r="AO38" s="11">
        <v>15</v>
      </c>
      <c r="AP38" s="8">
        <v>1708162.3900000001</v>
      </c>
      <c r="AR38">
        <v>15</v>
      </c>
      <c r="AS38" s="20">
        <v>1708162.3900000001</v>
      </c>
    </row>
    <row r="39" spans="4:45">
      <c r="AO39" s="11">
        <v>16</v>
      </c>
      <c r="AP39" s="8">
        <v>709539.17999999993</v>
      </c>
      <c r="AR39">
        <v>16</v>
      </c>
      <c r="AS39" s="20">
        <v>709539.17999999993</v>
      </c>
    </row>
    <row r="40" spans="4:45">
      <c r="AO40" s="11" t="s">
        <v>367</v>
      </c>
      <c r="AP40" s="8">
        <v>20197572.669999998</v>
      </c>
      <c r="AR40" t="s">
        <v>367</v>
      </c>
      <c r="AS40" s="20">
        <v>20197572.669999998</v>
      </c>
    </row>
  </sheetData>
  <mergeCells count="2">
    <mergeCell ref="A7:H9"/>
    <mergeCell ref="AG2:AL4"/>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51DAB-B073-4618-8FD9-DFE65E83AE69}">
  <dimension ref="A1"/>
  <sheetViews>
    <sheetView zoomScale="80" zoomScaleNormal="80" workbookViewId="0">
      <selection activeCell="AA25" sqref="AA25"/>
    </sheetView>
  </sheetViews>
  <sheetFormatPr defaultRowHeight="15"/>
  <cols>
    <col min="3" max="3" width="14.28515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2026-07-30T11:02:23Z</dcterms:created>
  <dcterms:modified xsi:type="dcterms:W3CDTF">2026-08-03T06:23:56Z</dcterms:modified>
</cp:coreProperties>
</file>